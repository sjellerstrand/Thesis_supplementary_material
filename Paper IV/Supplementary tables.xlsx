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si0630ja_lu_se/Documents/Dokument/Simon/PhD/Projects/Introgression_2025/"/>
    </mc:Choice>
  </mc:AlternateContent>
  <xr:revisionPtr revIDLastSave="9844" documentId="13_ncr:1_{42B6DC18-C33C-AB49-AE7B-D3CF6435F41E}" xr6:coauthVersionLast="47" xr6:coauthVersionMax="47" xr10:uidLastSave="{05589B07-ADB2-495D-B39B-1A7D164E3336}"/>
  <bookViews>
    <workbookView xWindow="28680" yWindow="-120" windowWidth="38640" windowHeight="21120" firstSheet="8" activeTab="8" xr2:uid="{00000000-000D-0000-FFFF-FFFF00000000}"/>
  </bookViews>
  <sheets>
    <sheet name="TS1 Sample information" sheetId="1" r:id="rId1"/>
    <sheet name="TS2 Strata age" sheetId="11" r:id="rId2"/>
    <sheet name="TS3 Genome classification" sheetId="23" r:id="rId3"/>
    <sheet name="TS5 Dating consistency" sheetId="26" r:id="rId4"/>
    <sheet name="TS6 Lineage divergence test" sheetId="27" r:id="rId5"/>
    <sheet name="TS7 Evolutionary rate changes" sheetId="28" r:id="rId6"/>
    <sheet name="TS8 ABBA-BABA tests" sheetId="24" r:id="rId7"/>
    <sheet name="TS9 f-branch statistics" sheetId="25" r:id="rId8"/>
    <sheet name="TS10 Introgressed tract lengths" sheetId="29" r:id="rId9"/>
    <sheet name="TS11 Local adaptation" sheetId="30" r:id="rId10"/>
    <sheet name="TS12 GO and KEGG enrichment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3" l="1"/>
  <c r="G6" i="23"/>
  <c r="G17" i="23"/>
  <c r="G15" i="23"/>
  <c r="G16" i="23"/>
  <c r="G18" i="23"/>
  <c r="G9" i="23"/>
  <c r="G10" i="23"/>
  <c r="G11" i="23"/>
  <c r="G12" i="23"/>
  <c r="G8" i="23"/>
</calcChain>
</file>

<file path=xl/sharedStrings.xml><?xml version="1.0" encoding="utf-8"?>
<sst xmlns="http://schemas.openxmlformats.org/spreadsheetml/2006/main" count="2003" uniqueCount="795">
  <si>
    <t>Sample ID</t>
  </si>
  <si>
    <t>Ring ID</t>
  </si>
  <si>
    <t>Species</t>
  </si>
  <si>
    <t>Sex</t>
  </si>
  <si>
    <t>Population</t>
  </si>
  <si>
    <t>Date</t>
  </si>
  <si>
    <t>Collector</t>
  </si>
  <si>
    <t>Extraction method</t>
  </si>
  <si>
    <t>Library selection</t>
  </si>
  <si>
    <t>NCBI BioSample ID</t>
  </si>
  <si>
    <t>Aarv-043-NL</t>
  </si>
  <si>
    <t>V409043</t>
  </si>
  <si>
    <t>Skylark</t>
  </si>
  <si>
    <t>Male</t>
  </si>
  <si>
    <t>Netherlands</t>
  </si>
  <si>
    <t>Arne Hegemann</t>
  </si>
  <si>
    <t>Phenol-Chloroform</t>
  </si>
  <si>
    <t>PCR</t>
  </si>
  <si>
    <t>SAMN45933814</t>
  </si>
  <si>
    <t>Aarv-052-NL</t>
  </si>
  <si>
    <t>V409052</t>
  </si>
  <si>
    <t>Female</t>
  </si>
  <si>
    <t>SAMN45933815</t>
  </si>
  <si>
    <t>Aarv-249-IT</t>
  </si>
  <si>
    <t>LF69249</t>
  </si>
  <si>
    <t>Italy</t>
  </si>
  <si>
    <t>Pavel Zehtindjiev</t>
  </si>
  <si>
    <t>PCR-free</t>
  </si>
  <si>
    <t>SAMN45933816</t>
  </si>
  <si>
    <t>Aarv-252-IT</t>
  </si>
  <si>
    <t>LF69252</t>
  </si>
  <si>
    <t>SAMN45933817</t>
  </si>
  <si>
    <t>Aarv-313-NL</t>
  </si>
  <si>
    <t>V350313</t>
  </si>
  <si>
    <t>SAMN45933818</t>
  </si>
  <si>
    <t>Aarv-389-IT</t>
  </si>
  <si>
    <t>LF69389</t>
  </si>
  <si>
    <t>SAMN45933819</t>
  </si>
  <si>
    <t>Aarv-441-IT</t>
  </si>
  <si>
    <t>LF69441</t>
  </si>
  <si>
    <t>SAMN45933820</t>
  </si>
  <si>
    <t>Aarv-444-IT</t>
  </si>
  <si>
    <t>LF69444</t>
  </si>
  <si>
    <t>SAMN45933821</t>
  </si>
  <si>
    <t>Aarv-449-IT</t>
  </si>
  <si>
    <t>LF69449</t>
  </si>
  <si>
    <t>SAMN45933822</t>
  </si>
  <si>
    <t>Aarv-460-IT</t>
  </si>
  <si>
    <t>LF69460</t>
  </si>
  <si>
    <t>SAMN45933823</t>
  </si>
  <si>
    <t>Aarv-475-NL</t>
  </si>
  <si>
    <t>V350475</t>
  </si>
  <si>
    <t>SAMN45933824</t>
  </si>
  <si>
    <t>Aarv-504-NL</t>
  </si>
  <si>
    <t>V350504</t>
  </si>
  <si>
    <t>SAMN45933825</t>
  </si>
  <si>
    <t>Aarv-558-NL</t>
  </si>
  <si>
    <t>V350558</t>
  </si>
  <si>
    <t>SAMN45933826</t>
  </si>
  <si>
    <t>Aarv-618-NL</t>
  </si>
  <si>
    <t>V324618</t>
  </si>
  <si>
    <t>SAMN45933827</t>
  </si>
  <si>
    <t>Aarv-621-NL</t>
  </si>
  <si>
    <t>V324621</t>
  </si>
  <si>
    <t>SAMN45933828</t>
  </si>
  <si>
    <t>Aarv-939-IT</t>
  </si>
  <si>
    <t>LF69939</t>
  </si>
  <si>
    <t>SAMN45933829</t>
  </si>
  <si>
    <t>SAMN13107494</t>
  </si>
  <si>
    <t>SAMN13107495</t>
  </si>
  <si>
    <t>TT95866</t>
  </si>
  <si>
    <t>Raso lark</t>
  </si>
  <si>
    <t xml:space="preserve">Michael Brooke </t>
  </si>
  <si>
    <t>Qiagen blood &amp; tissue</t>
  </si>
  <si>
    <t>SAMN45933830</t>
  </si>
  <si>
    <t>TT95867</t>
  </si>
  <si>
    <t>SAMN45933831</t>
  </si>
  <si>
    <t>TT95871</t>
  </si>
  <si>
    <t>SAMN45933832</t>
  </si>
  <si>
    <t>TT95873</t>
  </si>
  <si>
    <t>SAMN45933833</t>
  </si>
  <si>
    <t>TT95875</t>
  </si>
  <si>
    <t>SAMN45933834</t>
  </si>
  <si>
    <t>TT95876</t>
  </si>
  <si>
    <t>SAMN45933835</t>
  </si>
  <si>
    <t>TT95878</t>
  </si>
  <si>
    <t>SAMN45933836</t>
  </si>
  <si>
    <t>TT95879</t>
  </si>
  <si>
    <t>SAMN45933837</t>
  </si>
  <si>
    <t>TT95880</t>
  </si>
  <si>
    <t>SAMN45933838</t>
  </si>
  <si>
    <t>TT95881</t>
  </si>
  <si>
    <t>SAMN45933839</t>
  </si>
  <si>
    <t>TT95882</t>
  </si>
  <si>
    <t>SAMN45933840</t>
  </si>
  <si>
    <t>TT95884</t>
  </si>
  <si>
    <t>SAMN45933841</t>
  </si>
  <si>
    <t>TT95885</t>
  </si>
  <si>
    <t>SAMN45933842</t>
  </si>
  <si>
    <t>TT95887</t>
  </si>
  <si>
    <t>SAMN45933843</t>
  </si>
  <si>
    <t>TT95888</t>
  </si>
  <si>
    <t>SAMN45933844</t>
  </si>
  <si>
    <t>TT95889</t>
  </si>
  <si>
    <t>SAMN45933845</t>
  </si>
  <si>
    <t>TT01246 or TS05246</t>
  </si>
  <si>
    <t>SAMN13107493</t>
  </si>
  <si>
    <t>TT95694</t>
  </si>
  <si>
    <t>SAMN13107492</t>
  </si>
  <si>
    <t>Stratum</t>
  </si>
  <si>
    <t>4A</t>
  </si>
  <si>
    <t>NA</t>
  </si>
  <si>
    <t>Age [my]</t>
  </si>
  <si>
    <t>Age range [my]</t>
  </si>
  <si>
    <t>Broadest taxonomic group</t>
  </si>
  <si>
    <t>References for dating of strata</t>
  </si>
  <si>
    <t>Total</t>
  </si>
  <si>
    <t>S0</t>
  </si>
  <si>
    <t>135.3</t>
  </si>
  <si>
    <t>133.5-137.0</t>
  </si>
  <si>
    <t>Aves</t>
  </si>
  <si>
    <t>Cortez et al. 2014; Wright et al. 2012</t>
  </si>
  <si>
    <t>S1</t>
  </si>
  <si>
    <t>92.0</t>
  </si>
  <si>
    <t>88.2-95.7</t>
  </si>
  <si>
    <t>90.7</t>
  </si>
  <si>
    <t>88.4-93.0</t>
  </si>
  <si>
    <t xml:space="preserve">Neognathae </t>
  </si>
  <si>
    <t>Zhou et al. 2014; Jarvis et al. 2014; Stiller et al. 2024</t>
  </si>
  <si>
    <t>S2</t>
  </si>
  <si>
    <t>68.0-88.2</t>
  </si>
  <si>
    <t>77.4</t>
  </si>
  <si>
    <t>66.5-88.4</t>
  </si>
  <si>
    <t>Neoaves</t>
  </si>
  <si>
    <t>S3</t>
  </si>
  <si>
    <t>40.3</t>
  </si>
  <si>
    <t>30.0-48.7</t>
  </si>
  <si>
    <t>40.1</t>
  </si>
  <si>
    <t>29.5-50.7</t>
  </si>
  <si>
    <t>Passeri and Tyrranni (only proof from Passerides and Corvides)</t>
  </si>
  <si>
    <t>Xu et al. 2019; Oliveros et al. 2019; Stiller et al. 2024</t>
  </si>
  <si>
    <t>22.0</t>
  </si>
  <si>
    <t>20.9-23.0</t>
  </si>
  <si>
    <t>18.1</t>
  </si>
  <si>
    <t>17.4-18.9</t>
  </si>
  <si>
    <t>Alaudidae and Panuridae</t>
  </si>
  <si>
    <t>Sigeman et al. 2019; Sigeman et al. 2021; Oliveros et al. 2019; Stiller et al. 2024; Alström et al. 2023</t>
  </si>
  <si>
    <t>3-a</t>
  </si>
  <si>
    <t>Sigeman et al. 2019; Sigeman et al. 2022; Oliveros et al. 2019; Stiller et al. 2024; Alström et al. 2023</t>
  </si>
  <si>
    <t>3-b</t>
  </si>
  <si>
    <t>19.7</t>
  </si>
  <si>
    <t>18.5-20.9</t>
  </si>
  <si>
    <t>17.4</t>
  </si>
  <si>
    <t>&lt;17.4</t>
  </si>
  <si>
    <t>Alaudidae</t>
  </si>
  <si>
    <t>Sigeman et al. 2019; Unpublished data; Stiller et al. 2024; Alström et al. 2023</t>
  </si>
  <si>
    <t>5</t>
  </si>
  <si>
    <t>10.2</t>
  </si>
  <si>
    <t>9.3-11.1</t>
  </si>
  <si>
    <t xml:space="preserve">Alauda, Galerida, Lullula, and Spizocorys </t>
  </si>
  <si>
    <t>Dierickx et al. 2020; Sigeman et al 2019; Unpublished data; Alström et al. 2023</t>
  </si>
  <si>
    <t>3-c</t>
  </si>
  <si>
    <t>5.3-6.2</t>
  </si>
  <si>
    <t>Alauda arvensis and Alauda razae</t>
  </si>
  <si>
    <t>Dierickx et al. 2020; Sigeman 2019; Alström et al. 2023</t>
  </si>
  <si>
    <t>Age Stiller et al. 2024 [my]</t>
  </si>
  <si>
    <t>Age range Stiller et al. 2024 [my]</t>
  </si>
  <si>
    <t>Sequenced by Sigeman et al. (2019)</t>
  </si>
  <si>
    <t>2015 or 2017</t>
  </si>
  <si>
    <t>Sigeman, H., Ponnikas, S., Chauhan, P., Dierickx, E., Brooke, M. de L., Hansson, B., 2019. Repeated sex chromosome evolution in vertebrates supported by expanded avian sex chromosomes. Proceedings of the Royal Society B: Biological Sciences 286, 20192051.</t>
  </si>
  <si>
    <t>Cortez, D., Marin, R., Toledo-Flores, D., Froidevaux, L., Liechti, A., Waters, P.D., Grützner, F., Kaessmann, H., 2014. Origins and functional evolution of Y chromosomes across mammals. Nature 508, 488–493.</t>
  </si>
  <si>
    <t xml:space="preserve">Dierickx, E.G., Sin, S.Y.W., van Veelen, H.P.J., Brooke, M. de L., Liu, Y., Edwards, S.V., Martin, S.H., 2020. Genetic diversity, demographic history and neo-sex chromosomes in the Critically Endangered Raso lark. Proc. R. Soc. B. 287, 20192613. </t>
  </si>
  <si>
    <t>Alström, P., Mohammadi, Z., Enbody, E.D., Irestedt, M., Engelbrecht, D., Crochet, P.-A., Guillaumet, A., Rancilhac, L., Tieleman, B.I., Olsson, U., Donald, P.F., Stervander, M., 2023. Systematics of the avian family Alaudidae using multilocus and genomic data. Avian Research 14, 100095.</t>
  </si>
  <si>
    <t xml:space="preserve">Stiller, J., Feng, S., Chowdhury, A.-A., Rivas-González, I., Duchêne, D.A., Fang, Q., Deng, Y., Kozlov, A., Stamatakis, A., Claramunt, S., Nguyen, J.M.T., Ho, S.Y.W., Faircloth, B.C., Haag, J., Houde, P., Cracraft, J., Balaban, M., Mai, U., Chen, G., Gao, R., Zhou, C., Xie, Y., Huang, Z., Cao, Z., Yan, Z., Ogilvie, H.A., Nakhleh, L., Lindow, B., Morel, B., Fjeldså, J., Hosner, P.A., Da Fonseca, R.R., Petersen, B., Tobias, J.A., Székely, T., Kennedy, J.D., Reeve, A.H., Liker, A., Stervander, M., Antunes, A., Tietze, D.T., Bertelsen, M.F., Lei, F., Rahbek, C., Graves, G.R., Schierup, M.H., Warnow, T., Braun, E.L., Gilbert, M.T.P., Jarvis, E.D., Mirarab, S., Zhang, G., 2024. Complexity of avian evolution revealed by family-level genomes. Nature 629, 851–860. </t>
  </si>
  <si>
    <t>Wright, A.E., Moghadam, H.K., Mank, J.E., 2012. Trade-off Between Selection for Dosage Compensation and Masculinization on the Avian Z Chromosome. Genetics 192, 1433–1445.</t>
  </si>
  <si>
    <t>Jarvis, E.D., Mirarab, S., Aberer, A.J., Li, B., Houde, P., Li, C., Ho, S.Y.W., Faircloth, B.C., Nabholz, B., Howard, J.T., Suh, A., Weber, C.C., Da Fonseca, R.R., Li, J., Zhang, F., Li, H., Zhou, L., Narula, N., Liu, L., Ganapathy, G., Boussau, B., Bayzid, Md.S., Zavidovych, V., Subramanian, S., Gabaldón, T., Capella-Gutiérrez, S., Huerta-Cepas, J., Rekepalli, B., Munch, K., Schierup, M., Lindow, B., Warren, W.C., Ray, D., Green, R.E., Bruford, M.W., Zhan, X., Dixon, A., Li, S., Li, N., Huang, Y., Derryberry, E.P., Bertelsen, M.F., Sheldon, F.H., Brumfield, R.T., Mello, C.V., Lovell, P.V., Wirthlin, M., Schneider, M.P.C., Prosdocimi, F., Samaniego, J.A., Velazquez, A.M.V., Alfaro-Núñez, A., Campos, P.F., Petersen, B., Sicheritz-Ponten, T., Pas, A., Bailey, T., Scofield, P., Bunce, M., Lambert, D.M., Zhou, Q., Perelman, P., Driskell, A.C., Shapiro, B., Xiong, Z., Zeng, Y., Liu, S., Li, Z., Liu, B., Wu, K., Xiao, J., Yinqi, X., Zheng, Q., Zhang, Y., Yang, H., Wang, J., Smeds, L., Rheindt, F.E., Braun, M., Fjeldsa, J., Orlando, L., Barker, F.K., Jønsson, K.A., Johnson, W., Koepfli, K.-P., O’Brien, S., Haussler, D., Ryder, O.A., Rahbek, C., Willerslev, E., Graves, G.R., Glenn, T.C., McCormack, J., Burt, D., Ellegren, H., Alström, P., Edwards, S.V., Stamatakis, A., Mindell, D.P., Cracraft, J., Braun, E.L., Warnow, T., Jun, W., Gilbert, M.T.P., Zhang, G., 2014. Whole-genome analyses resolve early branches in the tree of life of modern birds. Science 346, 1320–1331.</t>
  </si>
  <si>
    <t>Zhou, Q., Zhang, J., Bachtrog, D., An, N., Huang, Q., Jarvis, E.D., Gilbert, M.T.P., Zhang, G., 2014. Complex evolutionary trajectories of sex chromosomes across bird taxa. Science 346, 1246338.</t>
  </si>
  <si>
    <t>Xu, Lulu, Ren, Y., Wu, J., Cui, T., Dong, R., Huang, C., Feng, Z., Zhang, T., Yang, P., Yuan, J., Xu, X., Liu, J., Wang, J., Chen, W., Mi, D., Irwin, D.M., Yan, Y., Xu, Luohao, Yu, X., Li, G., 2024. Evolution and expression patterns of the neo-sex chromosomes of the crested ibis. Nat Commun 15, 1670.</t>
  </si>
  <si>
    <t>Oliveros, C.H., Field, D.J., Ksepka, D.T., Barker, F.K., Aleixo, A., Andersen, M.J., Alström, P., Benz, B.W., Braun, E.L., Braun, M.J., Bravo, G.A., Brumfield, R.T., Chesser, R.T., Claramunt, S., Cracraft, J., Cuervo, A.M., Derryberry, E.P., Glenn, T.C., Harvey, M.G., Hosner, P.A., Joseph, L., Kimball, R.T., Mack, A.L., Miskelly, C.M., Peterson, A.T., Robbins, M.B., Sheldon, F.H., Silveira, L.F., Smith, B.T., White, N.D., Moyle, R.G., Faircloth, B.C., 2019. Earth history and the passerine superradiation. Proc. Natl. Acad. Sci. U.S.A. 116, 7916–7925.</t>
  </si>
  <si>
    <t>Sigeman, H., Strandh, M., Proux-Wéra, E., Kutschera, V.E., Ponnikas, S., Zhang, H., Lundberg, M., Soler, L., Bunikis, I., Tarka, M., Hasselquist, D., Nystedt, B., Westerdahl, H., Hansson, B., 2021. Avian Neo-Sex Chromosomes Reveal Dynamics of Recombination Suppression and W Degeneration. Molecular Biology and Evolution 38, 5275–5291.</t>
  </si>
  <si>
    <t>Sigeman, H., Zhang, H., Ali Abed, S., Hansson, B., 2022. A novel neo‐sex chromosome in Sylvietta brachyura (Macrosphenidae) adds to the extraordinary avian sex chromosome diversity among Sylvioidea songbirds. J of Evolutionary Biology 35, 1797–1805.</t>
  </si>
  <si>
    <t>Table S2. Estimated ages and taxonomic context of sex chromosome strata.</t>
  </si>
  <si>
    <t>Age [million generations]</t>
  </si>
  <si>
    <t>GO Chicken</t>
  </si>
  <si>
    <t>GO Human</t>
  </si>
  <si>
    <t>KEGG Chicken</t>
  </si>
  <si>
    <t>KEGG Human</t>
  </si>
  <si>
    <t>Sequenced by Ellerstrand et al. (2026)</t>
  </si>
  <si>
    <r>
      <t>Table S1. Sample metadata and sequencing details for the Skylark (</t>
    </r>
    <r>
      <rPr>
        <i/>
        <sz val="10"/>
        <color theme="1"/>
        <rFont val="Times New Roman"/>
        <family val="1"/>
      </rPr>
      <t>Alauda arvensis</t>
    </r>
    <r>
      <rPr>
        <sz val="10"/>
        <color theme="1"/>
        <rFont val="Times New Roman"/>
        <family val="1"/>
      </rPr>
      <t>), Oriental lark (A. gulgula), and Raso lark (</t>
    </r>
    <r>
      <rPr>
        <i/>
        <sz val="10"/>
        <color theme="1"/>
        <rFont val="Times New Roman"/>
        <family val="1"/>
      </rPr>
      <t>A. razae</t>
    </r>
    <r>
      <rPr>
        <sz val="10"/>
        <color theme="1"/>
        <rFont val="Times New Roman"/>
        <family val="1"/>
      </rPr>
      <t>).</t>
    </r>
  </si>
  <si>
    <t>Ellerstrand, S.J., Hansson, B., 2026. Selective regimes and evolutionary dynamics of Z- and W-linked gametologs across ancestral and neo-sex chromosomal regions in larks. Genome Biology and Evolution XXX.</t>
  </si>
  <si>
    <t>Sequenced for this study</t>
  </si>
  <si>
    <t>Oriental lark</t>
  </si>
  <si>
    <t>Alauda_arvensis_kiborti_SYSb000802</t>
  </si>
  <si>
    <t>Alauda_arvensis_kiborti_SYSb000805</t>
  </si>
  <si>
    <t>Alauda_arvensis_kiborti_SYSb000808</t>
  </si>
  <si>
    <t>Alauda_arvensis_kiborti_SYSb000810</t>
  </si>
  <si>
    <t>Alauda_arvensis_kiborti_SYSb000811</t>
  </si>
  <si>
    <t>Alauda_arvensis_kiborti_SYSb000814</t>
  </si>
  <si>
    <t>Alauda_arvensis_kiborti_SYSb000815</t>
  </si>
  <si>
    <t>Alauda_arvensis_kiborti_SYSb000830</t>
  </si>
  <si>
    <t>Alauda_arvensis_kiborti_SYSb000833</t>
  </si>
  <si>
    <t>Alauda_arvensis_kiborti_SYSb000847</t>
  </si>
  <si>
    <t>Alauda_arvensis_kiborti_SYSb004366</t>
  </si>
  <si>
    <t>Alauda_arvensis_intermedia_SYSb000834</t>
  </si>
  <si>
    <t>Alauda_arvensis_intermedia_SYSb000835</t>
  </si>
  <si>
    <t>Alauda_arvensis_intermedia_SYSb000845</t>
  </si>
  <si>
    <t>Alauda_arvensis_intermedia_SYSb000851</t>
  </si>
  <si>
    <t>Alauda_arvensis_intermedia_SYSb000854</t>
  </si>
  <si>
    <t>Scientific name</t>
  </si>
  <si>
    <t>Alauda arvensis arvensis</t>
  </si>
  <si>
    <t>Alauda razae</t>
  </si>
  <si>
    <t>Alauda arvensis cantarella</t>
  </si>
  <si>
    <t>Alauda arvensis kiborti</t>
  </si>
  <si>
    <t>Alauda arvensis intermedia</t>
  </si>
  <si>
    <t>Alauda_gulgula_wattersi_SYSb001476</t>
  </si>
  <si>
    <t>Alauda_gulgula_wattersi_SYSb001477</t>
  </si>
  <si>
    <t>Alauda_gulgula_wattersi_SYSb001478</t>
  </si>
  <si>
    <t>Alauda_gulgula_wattersi_SYSb001479</t>
  </si>
  <si>
    <t>Alauda_gulgula_wattersi_SYSb001480</t>
  </si>
  <si>
    <t>Alauda_gulgula_wattersi_SYSb001481</t>
  </si>
  <si>
    <t>Alauda_gulgula_wattersi_SYSb001482</t>
  </si>
  <si>
    <t>Alauda_gulgula_wattersi_SYSb001485</t>
  </si>
  <si>
    <t>Alauda_gulgula_wattersi_SYSb001486</t>
  </si>
  <si>
    <t>Alauda_gulgula_wattersi_SYSb001488</t>
  </si>
  <si>
    <t>Alauda_gulgula_wattersi_SYSb001490</t>
  </si>
  <si>
    <t>Alauda_gulgula_wattersi_SYSb002283</t>
  </si>
  <si>
    <t>Alauda_gulgula_weigoldi_SYSb002958</t>
  </si>
  <si>
    <t>Alauda_gulgula_weigoldi_SYSb002960</t>
  </si>
  <si>
    <t>Alauda_gulgula_weigoldi_SYSb002961</t>
  </si>
  <si>
    <t>Alauda_leucoptera_P28020_261</t>
  </si>
  <si>
    <t>White-winged lark</t>
  </si>
  <si>
    <t>Alauda gulgula wattersi</t>
  </si>
  <si>
    <t>Alauda gulgula weigoldi</t>
  </si>
  <si>
    <t>Alauda leucoptera</t>
  </si>
  <si>
    <t>Mongolia</t>
  </si>
  <si>
    <t>Taiwan</t>
  </si>
  <si>
    <t>China: Jiangxi</t>
  </si>
  <si>
    <t>Russia: Khabarovskiy Kray</t>
  </si>
  <si>
    <t>Russia: Primorskiy Kray</t>
  </si>
  <si>
    <t>Russia: Irkutskaya Oblast</t>
  </si>
  <si>
    <t>Mongolia: Dornod Aymag</t>
  </si>
  <si>
    <t>Mongolia: Hentiy Aymag</t>
  </si>
  <si>
    <t>Mongolia: Töv Aymag</t>
  </si>
  <si>
    <t>Cape Verde: Raso</t>
  </si>
  <si>
    <t>Kazakhstan</t>
  </si>
  <si>
    <t>Russia: Yakutiya</t>
  </si>
  <si>
    <t>Alauda_arvensis_kiborti_SYSb000801</t>
  </si>
  <si>
    <t>Alauda_arvensis_intermedia_SYSb003192</t>
  </si>
  <si>
    <t>Alauda_gulgula_SYSb000865</t>
  </si>
  <si>
    <t>Alauda_gulgula_SYSb000866</t>
  </si>
  <si>
    <t>Alauda_gulgula_weigoldi_SYSb002962</t>
  </si>
  <si>
    <t>D2404260432-SIDresden-13</t>
  </si>
  <si>
    <t>Excluded</t>
  </si>
  <si>
    <t>Sequenced by Bird10K</t>
  </si>
  <si>
    <t>China: Liaoning</t>
  </si>
  <si>
    <t>Alauda gulgula</t>
  </si>
  <si>
    <t>Alauda arvensis</t>
  </si>
  <si>
    <t>China</t>
  </si>
  <si>
    <t>Melanocorypha mongolica</t>
  </si>
  <si>
    <t>Mongolian lark</t>
  </si>
  <si>
    <t>Mean variant depth (nuclear)</t>
  </si>
  <si>
    <t>Mean variant depth (mitochondrion)</t>
  </si>
  <si>
    <t>BKS3905</t>
  </si>
  <si>
    <t>BKS4111</t>
  </si>
  <si>
    <t>CSW5176</t>
  </si>
  <si>
    <t>CSW5819</t>
  </si>
  <si>
    <t>DAB2388</t>
  </si>
  <si>
    <t>DAB2389</t>
  </si>
  <si>
    <t>Contaminated/polyploid</t>
  </si>
  <si>
    <t>Misclassified</t>
  </si>
  <si>
    <t>DAB2591</t>
  </si>
  <si>
    <t>DAB2601</t>
  </si>
  <si>
    <t>RCF2528</t>
  </si>
  <si>
    <t>RCF2538</t>
  </si>
  <si>
    <t>SVD529</t>
  </si>
  <si>
    <t>RYA636</t>
  </si>
  <si>
    <t>RYA638</t>
  </si>
  <si>
    <t>SAR6386</t>
  </si>
  <si>
    <t>SVD2472</t>
  </si>
  <si>
    <t>VM208</t>
  </si>
  <si>
    <t>T-17097</t>
  </si>
  <si>
    <t>Classification</t>
  </si>
  <si>
    <t>Sex-linked</t>
  </si>
  <si>
    <t>Sex coverage difference</t>
  </si>
  <si>
    <t>Sex haplotype difference</t>
  </si>
  <si>
    <t>Sex haplotype &amp; coverage difference</t>
  </si>
  <si>
    <t>Repetitive regions</t>
  </si>
  <si>
    <t>Pseudoautosomal</t>
  </si>
  <si>
    <t>Missing data</t>
  </si>
  <si>
    <t>Useable data</t>
  </si>
  <si>
    <t>Callable data</t>
  </si>
  <si>
    <t>Uncertain autosomal-sex-linked transitions</t>
  </si>
  <si>
    <t>All larks (full genome)</t>
  </si>
  <si>
    <t>Western Skylark (scaffold_1)</t>
  </si>
  <si>
    <t>Table S3. Classification of callable sites across the genom, and classification of genomic regions on the sex-chromosome (scaffold_1) following PhaseWY processing.</t>
  </si>
  <si>
    <t>Eastern Skylark (scaffold_1)</t>
  </si>
  <si>
    <t>Oriental lark (scaffold_1)</t>
  </si>
  <si>
    <t>Raso lark (scaffold_1)</t>
  </si>
  <si>
    <t>Missing alignments, too low or to high coverage</t>
  </si>
  <si>
    <t>Difference western Skylark - Raso lark</t>
  </si>
  <si>
    <t>≤ 6.3</t>
  </si>
  <si>
    <t>PAR</t>
  </si>
  <si>
    <t>Autosomes</t>
  </si>
  <si>
    <t>P1</t>
  </si>
  <si>
    <t>P2</t>
  </si>
  <si>
    <t>P3</t>
  </si>
  <si>
    <t>Z-score</t>
  </si>
  <si>
    <t>f4-ratio</t>
  </si>
  <si>
    <t>BBAA</t>
  </si>
  <si>
    <t>ABBA</t>
  </si>
  <si>
    <t>BABA</t>
  </si>
  <si>
    <t>Ancestral Z</t>
  </si>
  <si>
    <t>-</t>
  </si>
  <si>
    <t>Outgroup</t>
  </si>
  <si>
    <t>b2</t>
  </si>
  <si>
    <t>nan</t>
  </si>
  <si>
    <t>b3</t>
  </si>
  <si>
    <t>b4</t>
  </si>
  <si>
    <t>b5</t>
  </si>
  <si>
    <t>b6</t>
  </si>
  <si>
    <t>b7</t>
  </si>
  <si>
    <t>Branch</t>
  </si>
  <si>
    <t>Branch descendants</t>
  </si>
  <si>
    <t>Shared neo-Z</t>
  </si>
  <si>
    <t>Stratum Z-3-c</t>
  </si>
  <si>
    <t>Skylark East</t>
  </si>
  <si>
    <t>Skylark West</t>
  </si>
  <si>
    <t>Oriental lark, Skylark East, Skylark West</t>
  </si>
  <si>
    <t>0.194</t>
  </si>
  <si>
    <t>0.00939</t>
  </si>
  <si>
    <t>0.0244</t>
  </si>
  <si>
    <t>0.0308</t>
  </si>
  <si>
    <t>27.8</t>
  </si>
  <si>
    <t>0.166</t>
  </si>
  <si>
    <t>0.00362</t>
  </si>
  <si>
    <t>0.00883</t>
  </si>
  <si>
    <t>0.0124</t>
  </si>
  <si>
    <t>0.0242</t>
  </si>
  <si>
    <t>0.176</t>
  </si>
  <si>
    <t>0.00223</t>
  </si>
  <si>
    <t>2.30E-04</t>
  </si>
  <si>
    <t>ABBA-clustering sensitive</t>
  </si>
  <si>
    <t>ABBA-clustering robust</t>
  </si>
  <si>
    <t>D-statistic</t>
  </si>
  <si>
    <t>Tree 1</t>
  </si>
  <si>
    <t>Tree 2</t>
  </si>
  <si>
    <t>All taxa</t>
  </si>
  <si>
    <t>Excluding Skylark East</t>
  </si>
  <si>
    <t>Excluding Oriental lark</t>
  </si>
  <si>
    <t>Mitochondrion</t>
  </si>
  <si>
    <t>P-value</t>
  </si>
  <si>
    <t>Raso lark autosomal divergence</t>
  </si>
  <si>
    <t>Oriental lark autosomal divergence</t>
  </si>
  <si>
    <t>Raso lark Z divergence</t>
  </si>
  <si>
    <t>Oriental lark Z divergence</t>
  </si>
  <si>
    <t>Oriental lark W divergence</t>
  </si>
  <si>
    <t>Raso lark W divergence</t>
  </si>
  <si>
    <t>Raso lark mitochondrial divergence</t>
  </si>
  <si>
    <t>Oriental lark mitochondrial divergence</t>
  </si>
  <si>
    <t>-0.0847</t>
  </si>
  <si>
    <t>0.752</t>
  </si>
  <si>
    <t>0.376</t>
  </si>
  <si>
    <t>0.00829</t>
  </si>
  <si>
    <t>0.135</t>
  </si>
  <si>
    <t>0.127</t>
  </si>
  <si>
    <t>0.894</t>
  </si>
  <si>
    <t>0.611</t>
  </si>
  <si>
    <t>0.519</t>
  </si>
  <si>
    <t>0.447</t>
  </si>
  <si>
    <t>0.694</t>
  </si>
  <si>
    <t>0.741</t>
  </si>
  <si>
    <t>0.0467</t>
  </si>
  <si>
    <t>0.0934</t>
  </si>
  <si>
    <t>-0.725</t>
  </si>
  <si>
    <t>-0.211</t>
  </si>
  <si>
    <t>0.501</t>
  </si>
  <si>
    <t>0.250</t>
  </si>
  <si>
    <t>0.120</t>
  </si>
  <si>
    <t>0.827</t>
  </si>
  <si>
    <t>0.587</t>
  </si>
  <si>
    <t>0.914</t>
  </si>
  <si>
    <t>0.543</t>
  </si>
  <si>
    <t>Shared ZW: Z</t>
  </si>
  <si>
    <t>Shared ZW: W</t>
  </si>
  <si>
    <t>-0.0202</t>
  </si>
  <si>
    <t>0.0645</t>
  </si>
  <si>
    <t>0.830</t>
  </si>
  <si>
    <t>0.595</t>
  </si>
  <si>
    <t>0.702</t>
  </si>
  <si>
    <t>0.585</t>
  </si>
  <si>
    <t>-0.0217</t>
  </si>
  <si>
    <t>0.938</t>
  </si>
  <si>
    <t>0.469</t>
  </si>
  <si>
    <t>0.00639</t>
  </si>
  <si>
    <t>0.913</t>
  </si>
  <si>
    <t>0.456</t>
  </si>
  <si>
    <t>-0.102</t>
  </si>
  <si>
    <t>0.733</t>
  </si>
  <si>
    <t>0.366</t>
  </si>
  <si>
    <t>-1.47</t>
  </si>
  <si>
    <t>1.80E-04</t>
  </si>
  <si>
    <t>9.0E-05</t>
  </si>
  <si>
    <t>0.0390</t>
  </si>
  <si>
    <t>0.716</t>
  </si>
  <si>
    <t>0.642</t>
  </si>
  <si>
    <t>Skylark (W vs. E) mitochondrial divergence</t>
  </si>
  <si>
    <t>Skylark (W vs. E) autosomal divergence</t>
  </si>
  <si>
    <t>Skylark (W vs. E) Z divergence</t>
  </si>
  <si>
    <t>Skylark (W vs. E) W divergence</t>
  </si>
  <si>
    <t>0.00497</t>
  </si>
  <si>
    <t>0.0219</t>
  </si>
  <si>
    <t>0.931</t>
  </si>
  <si>
    <t>0.850</t>
  </si>
  <si>
    <t>0.535</t>
  </si>
  <si>
    <t>0.575</t>
  </si>
  <si>
    <t>0.0264</t>
  </si>
  <si>
    <t>-0.0508</t>
  </si>
  <si>
    <t>0.936</t>
  </si>
  <si>
    <t>0.597</t>
  </si>
  <si>
    <t>0.566</t>
  </si>
  <si>
    <t>0.532</t>
  </si>
  <si>
    <t>0.298</t>
  </si>
  <si>
    <t>0.283</t>
  </si>
  <si>
    <t>0.0134</t>
  </si>
  <si>
    <t>-0.0313</t>
  </si>
  <si>
    <t>-0.0448</t>
  </si>
  <si>
    <t>0.983</t>
  </si>
  <si>
    <t>0.872</t>
  </si>
  <si>
    <t>0.491</t>
  </si>
  <si>
    <t>0.436</t>
  </si>
  <si>
    <t>0.448</t>
  </si>
  <si>
    <t>-0.0177</t>
  </si>
  <si>
    <t>0.00946</t>
  </si>
  <si>
    <t>0.0271</t>
  </si>
  <si>
    <t>0.885</t>
  </si>
  <si>
    <t>0.994</t>
  </si>
  <si>
    <t>0.874</t>
  </si>
  <si>
    <t>0.557</t>
  </si>
  <si>
    <t>0.503</t>
  </si>
  <si>
    <t>0.437</t>
  </si>
  <si>
    <t>Skylark (W vs. E) W autosomal divergence</t>
  </si>
  <si>
    <t>Skylark (W vs. E) autosomal/Z divergence</t>
  </si>
  <si>
    <t>0.926</t>
  </si>
  <si>
    <t>0.463</t>
  </si>
  <si>
    <t>Stratum 3-c: autosomes/Z</t>
  </si>
  <si>
    <t>Stratum 3-c: W</t>
  </si>
  <si>
    <t>Age 1</t>
  </si>
  <si>
    <t>Age 2</t>
  </si>
  <si>
    <t>4.48</t>
  </si>
  <si>
    <t>-1.08</t>
  </si>
  <si>
    <t>Age difference</t>
  </si>
  <si>
    <t>Probability tree 2 divergence is older</t>
  </si>
  <si>
    <t>1.00</t>
  </si>
  <si>
    <t>0.00</t>
  </si>
  <si>
    <t>Bonferroni-corrected P-value</t>
  </si>
  <si>
    <t>2.00E-05</t>
  </si>
  <si>
    <t>2.90</t>
  </si>
  <si>
    <t>0.999</t>
  </si>
  <si>
    <t>1.39</t>
  </si>
  <si>
    <t>7.00E-4</t>
  </si>
  <si>
    <t>Table S5. Results from testing consistent divergence time estimates (Million years ago])including all, or excluding some taxa.</t>
  </si>
  <si>
    <t>Table S6. Results from testing species divergence time estimates (Million years ago]) between autosomes, shared Z, shared W, autosomes/stratum Z-3-c, stratum W-3-c, and the mitochondrion.</t>
  </si>
  <si>
    <t>Table S8. Results from ABBA-BABA tests assessing introgression in all trios possible based on the species tree.</t>
  </si>
  <si>
    <t>Table S9. Results from f-branch statistic inferring  the proportion of f4 admixture on respective branch in the phylogeny .</t>
  </si>
  <si>
    <t>Predictor</t>
  </si>
  <si>
    <t>Standardized coefficient (β)</t>
  </si>
  <si>
    <t>95% Confidence Interval (CI)</t>
  </si>
  <si>
    <t>Significance level</t>
  </si>
  <si>
    <t>Intercept</t>
  </si>
  <si>
    <t>***</t>
  </si>
  <si>
    <t>*</t>
  </si>
  <si>
    <t>**</t>
  </si>
  <si>
    <t>.</t>
  </si>
  <si>
    <t>Time</t>
  </si>
  <si>
    <t>Time * Stratum Z-3-c/autosomes</t>
  </si>
  <si>
    <t>Time * Stratum W-3-c/autosomes</t>
  </si>
  <si>
    <t>Time * Mitochondrion/autosomes</t>
  </si>
  <si>
    <t>t-value</t>
  </si>
  <si>
    <t>Slopes</t>
  </si>
  <si>
    <t>Slope</t>
  </si>
  <si>
    <t>Slope contrasts</t>
  </si>
  <si>
    <t>Difference in slope</t>
  </si>
  <si>
    <t>Contrast</t>
  </si>
  <si>
    <t>Tukey-adjusted P-value</t>
  </si>
  <si>
    <t>GLS</t>
  </si>
  <si>
    <t>Stratum W-3-c</t>
  </si>
  <si>
    <t>Shared Z</t>
  </si>
  <si>
    <t>Time * Shared Z</t>
  </si>
  <si>
    <t>Shared Z - Stratum Z-3-c</t>
  </si>
  <si>
    <t>Shared Z - Stratum W-3-c</t>
  </si>
  <si>
    <t>Stratum W-3-c - Mitochondrion</t>
  </si>
  <si>
    <t>Stratum Z-3-c - Mitochondrion</t>
  </si>
  <si>
    <t>Stratum Z-3-c - Stratum W-3-c</t>
  </si>
  <si>
    <t>Shared Z - Mitochondrion</t>
  </si>
  <si>
    <t>Autosomes - Shared Z</t>
  </si>
  <si>
    <t>Autosomes - Stratum Z-3-c</t>
  </si>
  <si>
    <t>Autosomes -Stratum W-3-c</t>
  </si>
  <si>
    <t>Autosomes - Mitochondrion</t>
  </si>
  <si>
    <t>Time * Time</t>
  </si>
  <si>
    <t>2.31</t>
  </si>
  <si>
    <t>0.0213</t>
  </si>
  <si>
    <t>[-0.113, 0.0549]</t>
  </si>
  <si>
    <t>[-0.0484, 0.104]</t>
  </si>
  <si>
    <t>[-0.137, 0.0532]</t>
  </si>
  <si>
    <t>[0.00958, 0.113]</t>
  </si>
  <si>
    <t>[0.0510, 0.175]</t>
  </si>
  <si>
    <t>-3.97</t>
  </si>
  <si>
    <t>1.45</t>
  </si>
  <si>
    <t>-1.07</t>
  </si>
  <si>
    <t>Prop. Degeneration</t>
  </si>
  <si>
    <t>LD: SLW</t>
  </si>
  <si>
    <t>0.131</t>
  </si>
  <si>
    <t xml:space="preserve"> P-value</t>
  </si>
  <si>
    <t>Test group</t>
  </si>
  <si>
    <t>Background</t>
  </si>
  <si>
    <t>Full genome</t>
  </si>
  <si>
    <t>Z chromosome</t>
  </si>
  <si>
    <t>0.00490</t>
  </si>
  <si>
    <t>0.00190</t>
  </si>
  <si>
    <t>0.00306</t>
  </si>
  <si>
    <t>1.53E-06</t>
  </si>
  <si>
    <t>2.50E-13</t>
  </si>
  <si>
    <t>4.06E-06</t>
  </si>
  <si>
    <t>6.66E-05</t>
  </si>
  <si>
    <t>2.30</t>
  </si>
  <si>
    <t>1.03E-05</t>
  </si>
  <si>
    <t>3.23E-06</t>
  </si>
  <si>
    <t>0.152</t>
  </si>
  <si>
    <t>0.00544</t>
  </si>
  <si>
    <t>0.0189</t>
  </si>
  <si>
    <t>0.00227</t>
  </si>
  <si>
    <t>6.17E-10</t>
  </si>
  <si>
    <t>2.64E-10</t>
  </si>
  <si>
    <t>9.58E-11</t>
  </si>
  <si>
    <t>2.21E-13</t>
  </si>
  <si>
    <t>1.19E-15</t>
  </si>
  <si>
    <t>0.240</t>
  </si>
  <si>
    <t>0.00172</t>
  </si>
  <si>
    <t>9.48E-05</t>
  </si>
  <si>
    <t>2.81E-09</t>
  </si>
  <si>
    <t>2.30E-16</t>
  </si>
  <si>
    <t>4.57</t>
  </si>
  <si>
    <t>0.832</t>
  </si>
  <si>
    <t>4.80</t>
  </si>
  <si>
    <t>1.90</t>
  </si>
  <si>
    <t>0.778</t>
  </si>
  <si>
    <t>0.0891</t>
  </si>
  <si>
    <t>3.74</t>
  </si>
  <si>
    <t>-0.225</t>
  </si>
  <si>
    <t>3.79</t>
  </si>
  <si>
    <t>2.67</t>
  </si>
  <si>
    <t>3.65</t>
  </si>
  <si>
    <t>-0.314</t>
  </si>
  <si>
    <t>3.70</t>
  </si>
  <si>
    <t>2.58</t>
  </si>
  <si>
    <t>0.0541</t>
  </si>
  <si>
    <t>4.02</t>
  </si>
  <si>
    <t>-1.12</t>
  </si>
  <si>
    <t>0.839</t>
  </si>
  <si>
    <t>0.523</t>
  </si>
  <si>
    <t>0.425</t>
  </si>
  <si>
    <t>0.630</t>
  </si>
  <si>
    <t>0.212</t>
  </si>
  <si>
    <t>0.580</t>
  </si>
  <si>
    <t>Probability tree 1 date is older</t>
  </si>
  <si>
    <t>0.651</t>
  </si>
  <si>
    <t>0.326</t>
  </si>
  <si>
    <t>0.998</t>
  </si>
  <si>
    <t>0.268</t>
  </si>
  <si>
    <t>0.00276</t>
  </si>
  <si>
    <t>0.0961</t>
  </si>
  <si>
    <t>0.0330</t>
  </si>
  <si>
    <t>5.60E-04</t>
  </si>
  <si>
    <t>0.866</t>
  </si>
  <si>
    <t>0.0481</t>
  </si>
  <si>
    <t>0.984</t>
  </si>
  <si>
    <t>0.0966</t>
  </si>
  <si>
    <t>0.0196</t>
  </si>
  <si>
    <t>3.76</t>
  </si>
  <si>
    <t>-1.40</t>
  </si>
  <si>
    <t>1.00E-04</t>
  </si>
  <si>
    <t>5.00E-05</t>
  </si>
  <si>
    <t>3.20</t>
  </si>
  <si>
    <t>0.910</t>
  </si>
  <si>
    <t>1.09</t>
  </si>
  <si>
    <t>2.85</t>
  </si>
  <si>
    <t>0.560</t>
  </si>
  <si>
    <t>1.76</t>
  </si>
  <si>
    <t>-0.534</t>
  </si>
  <si>
    <t>0.357</t>
  </si>
  <si>
    <t>-2.29</t>
  </si>
  <si>
    <t>0.891</t>
  </si>
  <si>
    <t>0.0338</t>
  </si>
  <si>
    <t>0.315</t>
  </si>
  <si>
    <t>0.262</t>
  </si>
  <si>
    <t>5.40E-04</t>
  </si>
  <si>
    <t>0.123</t>
  </si>
  <si>
    <t>0.00958</t>
  </si>
  <si>
    <t>0.335</t>
  </si>
  <si>
    <t>0.995</t>
  </si>
  <si>
    <t>0.842</t>
  </si>
  <si>
    <t>Raso lark Skylark west divergence</t>
  </si>
  <si>
    <t>Oriental lark Skylark east divergence</t>
  </si>
  <si>
    <t>Skylark east west divergence</t>
  </si>
  <si>
    <t>Table S7. Results from testing evolutionary rate changes over time in autosomes, shared Z, autosomes/stratum Z-3-c, stratum W-3-c, and the mitochondrion. The shared W had to be excluded due to inconsistent rates when used as an outgroup. Shared Z/autosomes used as reference. R2: 0.849.</t>
  </si>
  <si>
    <t>8.02E-32</t>
  </si>
  <si>
    <t>0.350</t>
  </si>
  <si>
    <t>0.0643</t>
  </si>
  <si>
    <t>0.0599</t>
  </si>
  <si>
    <t>0.689</t>
  </si>
  <si>
    <t>0.165</t>
  </si>
  <si>
    <t>0.836</t>
  </si>
  <si>
    <t>0.281</t>
  </si>
  <si>
    <t>0.777</t>
  </si>
  <si>
    <t>0.0354</t>
  </si>
  <si>
    <t>0.00135</t>
  </si>
  <si>
    <t>-12.7</t>
  </si>
  <si>
    <t>-0.935</t>
  </si>
  <si>
    <t>1.85</t>
  </si>
  <si>
    <t>-1.89</t>
  </si>
  <si>
    <t>-0.401</t>
  </si>
  <si>
    <t>-0.208</t>
  </si>
  <si>
    <t>1.08</t>
  </si>
  <si>
    <t>-0.284</t>
  </si>
  <si>
    <t>2.11</t>
  </si>
  <si>
    <t>3.22</t>
  </si>
  <si>
    <t>-2.04</t>
  </si>
  <si>
    <t>-0.298</t>
  </si>
  <si>
    <t>0.331</t>
  </si>
  <si>
    <t>-0.584</t>
  </si>
  <si>
    <t>-0.140</t>
  </si>
  <si>
    <t>-0.0482</t>
  </si>
  <si>
    <t>0.371</t>
  </si>
  <si>
    <t>0.306</t>
  </si>
  <si>
    <t>-0.0909</t>
  </si>
  <si>
    <t>0.360</t>
  </si>
  <si>
    <t>0.789</t>
  </si>
  <si>
    <t>[-2.35, -1.72]</t>
  </si>
  <si>
    <t>[-0.925, 0.328]</t>
  </si>
  <si>
    <t>[-0.0198, 0.683]</t>
  </si>
  <si>
    <t>[-1.19, -0.245]</t>
  </si>
  <si>
    <t>[-0.825, 0.545]</t>
  </si>
  <si>
    <t>[-0.505, 0.408]</t>
  </si>
  <si>
    <t>[-0.153, 0.895]</t>
  </si>
  <si>
    <t>[-0.252, 0.865]</t>
  </si>
  <si>
    <t>[-0.720, 0.538]</t>
  </si>
  <si>
    <t>[0.0247, 0.694]</t>
  </si>
  <si>
    <t>[0.308, 1.27]</t>
  </si>
  <si>
    <t>0.819</t>
  </si>
  <si>
    <t>0.203</t>
  </si>
  <si>
    <t>0.0670</t>
  </si>
  <si>
    <t>0.00248</t>
  </si>
  <si>
    <t>0.229</t>
  </si>
  <si>
    <t>-1.27</t>
  </si>
  <si>
    <t>1.84</t>
  </si>
  <si>
    <t>3.04</t>
  </si>
  <si>
    <t>-0.0434</t>
  </si>
  <si>
    <t>0.00888</t>
  </si>
  <si>
    <t>-0.0589</t>
  </si>
  <si>
    <t>0.0425</t>
  </si>
  <si>
    <t>0.0911</t>
  </si>
  <si>
    <t>-0.0523</t>
  </si>
  <si>
    <t>0.0155</t>
  </si>
  <si>
    <t>-0.0859</t>
  </si>
  <si>
    <t>-0.135</t>
  </si>
  <si>
    <t>0.0678</t>
  </si>
  <si>
    <t>-0.0336</t>
  </si>
  <si>
    <t>-0.0823</t>
  </si>
  <si>
    <t>-0.101</t>
  </si>
  <si>
    <t>-0.150</t>
  </si>
  <si>
    <t>-0.0487</t>
  </si>
  <si>
    <t>[-0.182, 0.0779]</t>
  </si>
  <si>
    <t>[-0.131, 0.162]</t>
  </si>
  <si>
    <t>[-0.195, 0.0235]</t>
  </si>
  <si>
    <t>[-0.247, -0.0224]</t>
  </si>
  <si>
    <t>[-0.0621, 0.198]</t>
  </si>
  <si>
    <t>[-0.119, 0.0518]</t>
  </si>
  <si>
    <t>[-0.171, -0.00663]</t>
  </si>
  <si>
    <t>[-0.210, 0.00757]</t>
  </si>
  <si>
    <t>[-0.262, -0.0383]</t>
  </si>
  <si>
    <t>[-0.103, 0.00531]</t>
  </si>
  <si>
    <t>0.284</t>
  </si>
  <si>
    <t>-2.11</t>
  </si>
  <si>
    <t>-3.22</t>
  </si>
  <si>
    <t>1.40</t>
  </si>
  <si>
    <t>-1.06</t>
  </si>
  <si>
    <t>-2.49</t>
  </si>
  <si>
    <t>-2.50</t>
  </si>
  <si>
    <t>-3.61</t>
  </si>
  <si>
    <t>-2.42</t>
  </si>
  <si>
    <t>0.802</t>
  </si>
  <si>
    <t>0.198</t>
  </si>
  <si>
    <t>0.00982</t>
  </si>
  <si>
    <t>0.603</t>
  </si>
  <si>
    <t>0.813</t>
  </si>
  <si>
    <t>0.0843</t>
  </si>
  <si>
    <t>0.0812</t>
  </si>
  <si>
    <t>0.00249</t>
  </si>
  <si>
    <t>0.0985</t>
  </si>
  <si>
    <t>Skylark East, Skylark West</t>
  </si>
  <si>
    <t>Table S12. GO and KEGG enrichment results for introgressed genes between Raso larks and skylarks.</t>
  </si>
  <si>
    <t>RND: RL-SLW</t>
  </si>
  <si>
    <t>Z-value</t>
  </si>
  <si>
    <r>
      <t>Mean d</t>
    </r>
    <r>
      <rPr>
        <vertAlign val="subscript"/>
        <sz val="10"/>
        <color theme="1"/>
        <rFont val="Times New Roman"/>
        <family val="1"/>
      </rPr>
      <t>XY</t>
    </r>
    <r>
      <rPr>
        <sz val="10"/>
        <color theme="1"/>
        <rFont val="Times New Roman"/>
        <family val="1"/>
      </rPr>
      <t xml:space="preserve"> * LD: SLW </t>
    </r>
  </si>
  <si>
    <r>
      <t>Mean d</t>
    </r>
    <r>
      <rPr>
        <vertAlign val="subscript"/>
        <sz val="10"/>
        <color theme="1"/>
        <rFont val="Times New Roman"/>
        <family val="1"/>
      </rPr>
      <t>XY</t>
    </r>
  </si>
  <si>
    <r>
      <t>Mean d</t>
    </r>
    <r>
      <rPr>
        <vertAlign val="subscript"/>
        <sz val="10"/>
        <color theme="1"/>
        <rFont val="Times New Roman"/>
        <family val="1"/>
      </rPr>
      <t>XY</t>
    </r>
    <r>
      <rPr>
        <sz val="10"/>
        <color theme="1"/>
        <rFont val="Times New Roman"/>
        <family val="1"/>
      </rPr>
      <t xml:space="preserve"> * RND: RL-SLW </t>
    </r>
  </si>
  <si>
    <t>ubiquitin conjugating enzyme binding</t>
  </si>
  <si>
    <t>Number of tested genes</t>
  </si>
  <si>
    <t>Number of background genes (chicken/human)</t>
  </si>
  <si>
    <t>1840/1807</t>
  </si>
  <si>
    <t>10076/10137</t>
  </si>
  <si>
    <r>
      <t>Table S10. Results from GLM testing  introgressed tract lengths on the Z chromosome in relation to predictors. Abbreviations: d</t>
    </r>
    <r>
      <rPr>
        <vertAlign val="subscript"/>
        <sz val="10"/>
        <color theme="1"/>
        <rFont val="Times New Roman"/>
        <family val="1"/>
      </rPr>
      <t>XY</t>
    </r>
    <r>
      <rPr>
        <sz val="10"/>
        <color theme="1"/>
        <rFont val="Times New Roman"/>
        <family val="1"/>
      </rPr>
      <t>: absolute divergence, RND=relative node depth,  LD=linkage disequilibrium, RL=oriental lark, SLW=skylark west. R2: 0.336 and Adjusted R2: 0.327</t>
    </r>
  </si>
  <si>
    <t>7.80E-14</t>
  </si>
  <si>
    <t>7.47</t>
  </si>
  <si>
    <t>5.53</t>
  </si>
  <si>
    <t>-1.66</t>
  </si>
  <si>
    <t>0.750</t>
  </si>
  <si>
    <t>-2.56</t>
  </si>
  <si>
    <t>-2.64</t>
  </si>
  <si>
    <t>3.26</t>
  </si>
  <si>
    <t>3.21E-08</t>
  </si>
  <si>
    <t>0.0970</t>
  </si>
  <si>
    <t>0.453</t>
  </si>
  <si>
    <t>0.0106</t>
  </si>
  <si>
    <t>0.00826</t>
  </si>
  <si>
    <t>0.00113</t>
  </si>
  <si>
    <t>0.214</t>
  </si>
  <si>
    <t>-0.355</t>
  </si>
  <si>
    <t>0.171</t>
  </si>
  <si>
    <t>-0.651</t>
  </si>
  <si>
    <t>-0.556</t>
  </si>
  <si>
    <t>1.04</t>
  </si>
  <si>
    <t>[0.138, 0.290]</t>
  </si>
  <si>
    <t>[-0.775, 0.0644]</t>
  </si>
  <si>
    <t>[-0.276, 0.618]</t>
  </si>
  <si>
    <t>[-1.15, -0.152]</t>
  </si>
  <si>
    <t>[-0.969, -0.144]</t>
  </si>
  <si>
    <t>[0.415, 1.67]</t>
  </si>
  <si>
    <t>catalytic activity, acting on a protein</t>
  </si>
  <si>
    <t>cellular macromolecule localization, establishment of protein localization, protein modification by small protein conjugation, macromolecule modification</t>
  </si>
  <si>
    <t>Model</t>
  </si>
  <si>
    <t>Gaussian</t>
  </si>
  <si>
    <t>Gaussian + dispersion</t>
  </si>
  <si>
    <t>Student-t + dispersion</t>
  </si>
  <si>
    <t>Student-t + dispersion + AR1 correction</t>
  </si>
  <si>
    <t>Student-t + dispersion + OU correction</t>
  </si>
  <si>
    <t>AIC</t>
  </si>
  <si>
    <t>-27088.4</t>
  </si>
  <si>
    <t>-28885.3</t>
  </si>
  <si>
    <t xml:space="preserve">-40258.4 </t>
  </si>
  <si>
    <t xml:space="preserve">-48850.9 </t>
  </si>
  <si>
    <t>-48908.3</t>
  </si>
  <si>
    <t>0.00666</t>
  </si>
  <si>
    <t>0.006651</t>
  </si>
  <si>
    <t>2.20E-16</t>
  </si>
  <si>
    <t>21.9</t>
  </si>
  <si>
    <t>Estiamate: Introgression</t>
  </si>
  <si>
    <t>Standard error: Introgression</t>
  </si>
  <si>
    <t>Z-value: Introgression</t>
  </si>
  <si>
    <t xml:space="preserve"> P-value: Introgression</t>
  </si>
  <si>
    <t>Significance level: Introgression</t>
  </si>
  <si>
    <t>13.3</t>
  </si>
  <si>
    <t>-2.73</t>
  </si>
  <si>
    <t>0.0896</t>
  </si>
  <si>
    <t>0.0121</t>
  </si>
  <si>
    <t xml:space="preserve">0.00624 </t>
  </si>
  <si>
    <t>1.52E-05</t>
  </si>
  <si>
    <t>-4.33</t>
  </si>
  <si>
    <t>0.0116</t>
  </si>
  <si>
    <t>-0.0501</t>
  </si>
  <si>
    <t>-9.84</t>
  </si>
  <si>
    <t>0.00501</t>
  </si>
  <si>
    <t>-7.32</t>
  </si>
  <si>
    <t>-0.0330</t>
  </si>
  <si>
    <t>-10.9</t>
  </si>
  <si>
    <t>0.0886</t>
  </si>
  <si>
    <t>22.6</t>
  </si>
  <si>
    <t>22.9</t>
  </si>
  <si>
    <t xml:space="preserve">Table S11. Results from GLMM testing whether introgressed windows differ in divergence between the Raso lark and western skylarks compared to between western and eastern skylarks. </t>
  </si>
  <si>
    <t>Models with introgression as predictor</t>
  </si>
  <si>
    <r>
      <t>Student-t + dispersion + OU correction + Mean d</t>
    </r>
    <r>
      <rPr>
        <vertAlign val="subscript"/>
        <sz val="10"/>
        <color theme="1"/>
        <rFont val="Times New Roman"/>
        <family val="1"/>
      </rPr>
      <t>XY</t>
    </r>
  </si>
  <si>
    <t>1.66</t>
  </si>
  <si>
    <t>0.0980</t>
  </si>
  <si>
    <t>-48928.1</t>
  </si>
  <si>
    <t>0.0523</t>
  </si>
  <si>
    <t>0.0316</t>
  </si>
  <si>
    <t>12.8</t>
  </si>
  <si>
    <t>Relative difference: non-introgression-introgression (%)</t>
  </si>
  <si>
    <t>Z chromosome: Introgressed tracts</t>
  </si>
  <si>
    <t>Z chromosome: Local adaptation outliers in introgressed tracts</t>
  </si>
  <si>
    <t>mediator complex</t>
  </si>
  <si>
    <t>catalytic step 2 spliceosome, nuclear cyclin-dependent protein kinase holoenzyme complex, cyclin-dependent protein kinase holoenzyme complex, ribonucleoprotein complex</t>
  </si>
  <si>
    <t>Z chromosome introgressed tracts</t>
  </si>
  <si>
    <t>catalytic step 2 spliceosome</t>
  </si>
  <si>
    <t>266/282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</si>
</sst>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i/>
      <sz val="10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rgb="FF000000"/>
      <name val="Lucida Console"/>
      <family val="3"/>
    </font>
    <font>
      <vertAlign val="subscript"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2" fontId="0" fillId="0" borderId="0" xfId="0" applyNumberFormat="1"/>
    <xf numFmtId="0" fontId="3" fillId="0" borderId="0" xfId="0" applyFont="1" applyAlignment="1">
      <alignment wrapText="1"/>
    </xf>
    <xf numFmtId="14" fontId="0" fillId="0" borderId="0" xfId="0" applyNumberFormat="1"/>
    <xf numFmtId="14" fontId="3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/>
    <xf numFmtId="0" fontId="1" fillId="0" borderId="1" xfId="0" applyFont="1" applyBorder="1" applyAlignment="1">
      <alignment vertical="center" wrapText="1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6" fillId="3" borderId="0" xfId="0" applyFont="1" applyFill="1"/>
    <xf numFmtId="0" fontId="6" fillId="0" borderId="3" xfId="0" applyFont="1" applyBorder="1"/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4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/>
    <xf numFmtId="10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2" fillId="0" borderId="2" xfId="0" applyFont="1" applyBorder="1"/>
    <xf numFmtId="49" fontId="2" fillId="0" borderId="2" xfId="0" applyNumberFormat="1" applyFont="1" applyBorder="1" applyAlignment="1">
      <alignment horizontal="center"/>
    </xf>
    <xf numFmtId="0" fontId="9" fillId="0" borderId="0" xfId="0" applyFont="1"/>
    <xf numFmtId="49" fontId="2" fillId="0" borderId="0" xfId="0" applyNumberFormat="1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10" fillId="0" borderId="0" xfId="0" applyFont="1"/>
    <xf numFmtId="0" fontId="4" fillId="0" borderId="2" xfId="0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2" fillId="0" borderId="0" xfId="0" applyNumberFormat="1" applyFont="1"/>
    <xf numFmtId="49" fontId="4" fillId="0" borderId="0" xfId="0" applyNumberFormat="1" applyFont="1"/>
    <xf numFmtId="49" fontId="4" fillId="0" borderId="2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10" fontId="11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0" xfId="0" quotePrefix="1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11" fontId="10" fillId="0" borderId="0" xfId="0" applyNumberFormat="1" applyFont="1"/>
    <xf numFmtId="11" fontId="9" fillId="0" borderId="0" xfId="0" applyNumberFormat="1" applyFont="1"/>
    <xf numFmtId="11" fontId="4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11" fontId="2" fillId="0" borderId="2" xfId="0" applyNumberFormat="1" applyFont="1" applyBorder="1" applyAlignment="1">
      <alignment horizontal="center"/>
    </xf>
    <xf numFmtId="11" fontId="4" fillId="0" borderId="2" xfId="0" applyNumberFormat="1" applyFont="1" applyBorder="1" applyAlignment="1">
      <alignment horizontal="center"/>
    </xf>
    <xf numFmtId="49" fontId="2" fillId="0" borderId="2" xfId="0" applyNumberFormat="1" applyFont="1" applyBorder="1"/>
    <xf numFmtId="0" fontId="7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opLeftCell="A20" workbookViewId="0">
      <selection activeCell="C78" sqref="C78"/>
    </sheetView>
  </sheetViews>
  <sheetFormatPr defaultColWidth="8.77734375" defaultRowHeight="14.4" x14ac:dyDescent="0.3"/>
  <cols>
    <col min="1" max="1" width="37" customWidth="1"/>
    <col min="2" max="2" width="11.44140625" customWidth="1"/>
    <col min="3" max="3" width="14.77734375" customWidth="1"/>
    <col min="4" max="4" width="23.6640625" customWidth="1"/>
    <col min="5" max="5" width="13.109375" customWidth="1"/>
    <col min="6" max="6" width="28.33203125" customWidth="1"/>
    <col min="7" max="7" width="13.109375" customWidth="1"/>
    <col min="8" max="8" width="14.6640625" customWidth="1"/>
    <col min="9" max="9" width="18" customWidth="1"/>
    <col min="10" max="10" width="13.109375" customWidth="1"/>
    <col min="11" max="11" width="14.109375" customWidth="1"/>
    <col min="12" max="12" width="13.109375" customWidth="1"/>
    <col min="13" max="13" width="15.88671875" customWidth="1"/>
    <col min="14" max="14" width="12.109375" customWidth="1"/>
    <col min="15" max="15" width="39" customWidth="1"/>
    <col min="16" max="16" width="9.6640625" bestFit="1" customWidth="1"/>
    <col min="18" max="18" width="15.44140625" customWidth="1"/>
  </cols>
  <sheetData>
    <row r="1" spans="1:16" x14ac:dyDescent="0.3">
      <c r="A1" s="11" t="s">
        <v>188</v>
      </c>
    </row>
    <row r="3" spans="1:16" ht="40.200000000000003" thickBot="1" x14ac:dyDescent="0.35">
      <c r="A3" s="17" t="s">
        <v>0</v>
      </c>
      <c r="B3" s="17" t="s">
        <v>1</v>
      </c>
      <c r="C3" s="17" t="s">
        <v>2</v>
      </c>
      <c r="D3" s="17" t="s">
        <v>208</v>
      </c>
      <c r="E3" s="17" t="s">
        <v>3</v>
      </c>
      <c r="F3" s="17" t="s">
        <v>4</v>
      </c>
      <c r="G3" s="17" t="s">
        <v>5</v>
      </c>
      <c r="H3" s="17" t="s">
        <v>6</v>
      </c>
      <c r="I3" s="17" t="s">
        <v>7</v>
      </c>
      <c r="J3" s="17" t="s">
        <v>8</v>
      </c>
      <c r="K3" s="17" t="s">
        <v>9</v>
      </c>
      <c r="L3" s="17" t="s">
        <v>260</v>
      </c>
      <c r="M3" s="17" t="s">
        <v>261</v>
      </c>
      <c r="N3" s="17" t="s">
        <v>252</v>
      </c>
      <c r="P3" s="1"/>
    </row>
    <row r="4" spans="1:16" x14ac:dyDescent="0.3">
      <c r="A4" s="41" t="s">
        <v>190</v>
      </c>
      <c r="B4" s="54"/>
      <c r="C4" s="15"/>
      <c r="D4" s="55"/>
      <c r="E4" s="54"/>
      <c r="F4" s="15"/>
      <c r="G4" s="15"/>
      <c r="H4" s="15"/>
      <c r="I4" s="15"/>
      <c r="J4" s="15"/>
      <c r="K4" s="15"/>
      <c r="L4" s="15"/>
      <c r="M4" s="15"/>
      <c r="N4" s="15"/>
      <c r="O4" s="7"/>
      <c r="P4" s="1"/>
    </row>
    <row r="5" spans="1:16" ht="31.2" customHeight="1" x14ac:dyDescent="0.3">
      <c r="A5" s="11" t="s">
        <v>246</v>
      </c>
      <c r="B5" s="66" t="s">
        <v>262</v>
      </c>
      <c r="C5" s="49" t="s">
        <v>12</v>
      </c>
      <c r="D5" s="42" t="s">
        <v>212</v>
      </c>
      <c r="E5" s="9" t="s">
        <v>21</v>
      </c>
      <c r="F5" s="23" t="s">
        <v>242</v>
      </c>
      <c r="G5" s="54"/>
      <c r="H5" s="15"/>
      <c r="I5" s="15"/>
      <c r="J5" s="23" t="s">
        <v>17</v>
      </c>
      <c r="K5" s="15"/>
      <c r="L5" s="57">
        <v>15.9831</v>
      </c>
      <c r="M5" s="9" t="s">
        <v>111</v>
      </c>
      <c r="N5" s="9" t="s">
        <v>268</v>
      </c>
      <c r="O5" s="7"/>
      <c r="P5" s="1"/>
    </row>
    <row r="6" spans="1:16" x14ac:dyDescent="0.3">
      <c r="A6" s="11" t="s">
        <v>192</v>
      </c>
      <c r="B6" s="66" t="s">
        <v>263</v>
      </c>
      <c r="C6" s="49" t="s">
        <v>12</v>
      </c>
      <c r="D6" s="42" t="s">
        <v>212</v>
      </c>
      <c r="E6" s="9" t="s">
        <v>13</v>
      </c>
      <c r="F6" s="23" t="s">
        <v>242</v>
      </c>
      <c r="G6" s="9"/>
      <c r="H6" s="14"/>
      <c r="I6" s="14"/>
      <c r="J6" s="23" t="s">
        <v>17</v>
      </c>
      <c r="K6" s="14"/>
      <c r="L6" s="57">
        <v>21.566099999999999</v>
      </c>
      <c r="M6" s="57">
        <v>26903.9</v>
      </c>
      <c r="N6" s="57"/>
      <c r="O6" s="7"/>
      <c r="P6" s="1"/>
    </row>
    <row r="7" spans="1:16" x14ac:dyDescent="0.3">
      <c r="A7" s="11" t="s">
        <v>193</v>
      </c>
      <c r="B7" s="66" t="s">
        <v>264</v>
      </c>
      <c r="C7" s="49" t="s">
        <v>12</v>
      </c>
      <c r="D7" s="42" t="s">
        <v>212</v>
      </c>
      <c r="E7" s="9" t="s">
        <v>21</v>
      </c>
      <c r="F7" s="23" t="s">
        <v>238</v>
      </c>
      <c r="G7" s="9"/>
      <c r="H7" s="14"/>
      <c r="I7" s="14"/>
      <c r="J7" s="23" t="s">
        <v>17</v>
      </c>
      <c r="K7" s="14"/>
      <c r="L7" s="57">
        <v>28.470500000000001</v>
      </c>
      <c r="M7" s="57">
        <v>6349.48</v>
      </c>
      <c r="N7" s="57"/>
      <c r="O7" s="7"/>
      <c r="P7" s="1"/>
    </row>
    <row r="8" spans="1:16" x14ac:dyDescent="0.3">
      <c r="A8" s="11" t="s">
        <v>194</v>
      </c>
      <c r="B8" s="66" t="s">
        <v>265</v>
      </c>
      <c r="C8" s="49" t="s">
        <v>12</v>
      </c>
      <c r="D8" s="42" t="s">
        <v>212</v>
      </c>
      <c r="E8" s="9" t="s">
        <v>21</v>
      </c>
      <c r="F8" s="23" t="s">
        <v>240</v>
      </c>
      <c r="G8" s="9"/>
      <c r="H8" s="14"/>
      <c r="I8" s="14"/>
      <c r="J8" s="23" t="s">
        <v>17</v>
      </c>
      <c r="K8" s="14"/>
      <c r="L8" s="57">
        <v>21.8689</v>
      </c>
      <c r="M8" s="57">
        <v>17039.7</v>
      </c>
      <c r="N8" s="57"/>
      <c r="O8" s="7"/>
      <c r="P8" s="1"/>
    </row>
    <row r="9" spans="1:16" x14ac:dyDescent="0.3">
      <c r="A9" s="11" t="s">
        <v>195</v>
      </c>
      <c r="B9" s="66" t="s">
        <v>266</v>
      </c>
      <c r="C9" s="49" t="s">
        <v>12</v>
      </c>
      <c r="D9" s="42" t="s">
        <v>212</v>
      </c>
      <c r="E9" s="9" t="s">
        <v>13</v>
      </c>
      <c r="F9" s="23" t="s">
        <v>242</v>
      </c>
      <c r="G9" s="9"/>
      <c r="H9" s="14"/>
      <c r="I9" s="14"/>
      <c r="J9" s="23" t="s">
        <v>17</v>
      </c>
      <c r="K9" s="14"/>
      <c r="L9" s="57">
        <v>19.946100000000001</v>
      </c>
      <c r="M9" s="57">
        <v>26650.7</v>
      </c>
      <c r="N9" s="57"/>
      <c r="O9" s="7"/>
      <c r="P9" s="1"/>
    </row>
    <row r="10" spans="1:16" x14ac:dyDescent="0.3">
      <c r="A10" s="11" t="s">
        <v>196</v>
      </c>
      <c r="B10" s="66" t="s">
        <v>267</v>
      </c>
      <c r="C10" s="49" t="s">
        <v>12</v>
      </c>
      <c r="D10" s="42" t="s">
        <v>212</v>
      </c>
      <c r="E10" s="9" t="s">
        <v>21</v>
      </c>
      <c r="F10" s="23" t="s">
        <v>242</v>
      </c>
      <c r="G10" s="9"/>
      <c r="H10" s="14"/>
      <c r="I10" s="14"/>
      <c r="J10" s="23" t="s">
        <v>17</v>
      </c>
      <c r="K10" s="14"/>
      <c r="L10" s="57">
        <v>29.269100000000002</v>
      </c>
      <c r="M10" s="57">
        <v>21402.7</v>
      </c>
      <c r="N10" s="57"/>
      <c r="O10" s="7"/>
      <c r="P10" s="1"/>
    </row>
    <row r="11" spans="1:16" x14ac:dyDescent="0.3">
      <c r="A11" s="11" t="s">
        <v>197</v>
      </c>
      <c r="B11" s="67" t="s">
        <v>270</v>
      </c>
      <c r="C11" s="49" t="s">
        <v>12</v>
      </c>
      <c r="D11" s="42" t="s">
        <v>212</v>
      </c>
      <c r="E11" s="9" t="s">
        <v>21</v>
      </c>
      <c r="F11" s="23" t="s">
        <v>241</v>
      </c>
      <c r="G11" s="9"/>
      <c r="H11" s="14"/>
      <c r="I11" s="14"/>
      <c r="J11" s="23" t="s">
        <v>17</v>
      </c>
      <c r="K11" s="14"/>
      <c r="L11" s="57">
        <v>28.393799999999999</v>
      </c>
      <c r="M11" s="57">
        <v>6740.43</v>
      </c>
      <c r="N11" s="57"/>
      <c r="O11" s="7"/>
      <c r="P11" s="1"/>
    </row>
    <row r="12" spans="1:16" x14ac:dyDescent="0.3">
      <c r="A12" s="11" t="s">
        <v>198</v>
      </c>
      <c r="B12" s="67" t="s">
        <v>271</v>
      </c>
      <c r="C12" s="49" t="s">
        <v>12</v>
      </c>
      <c r="D12" s="42" t="s">
        <v>212</v>
      </c>
      <c r="E12" s="9" t="s">
        <v>21</v>
      </c>
      <c r="F12" s="23" t="s">
        <v>241</v>
      </c>
      <c r="G12" s="9"/>
      <c r="H12" s="14"/>
      <c r="I12" s="14"/>
      <c r="J12" s="23" t="s">
        <v>17</v>
      </c>
      <c r="K12" s="14"/>
      <c r="L12" s="57">
        <v>25.722200000000001</v>
      </c>
      <c r="M12" s="57">
        <v>15043.9</v>
      </c>
      <c r="N12" s="57"/>
      <c r="O12" s="7"/>
      <c r="P12" s="1"/>
    </row>
    <row r="13" spans="1:16" x14ac:dyDescent="0.3">
      <c r="A13" s="11" t="s">
        <v>199</v>
      </c>
      <c r="B13" s="67" t="s">
        <v>272</v>
      </c>
      <c r="C13" s="49" t="s">
        <v>12</v>
      </c>
      <c r="D13" s="42" t="s">
        <v>212</v>
      </c>
      <c r="E13" s="9" t="s">
        <v>13</v>
      </c>
      <c r="F13" s="23" t="s">
        <v>245</v>
      </c>
      <c r="G13" s="9"/>
      <c r="H13" s="14"/>
      <c r="I13" s="14"/>
      <c r="J13" s="23" t="s">
        <v>17</v>
      </c>
      <c r="K13" s="14"/>
      <c r="L13" s="57">
        <v>19.3062</v>
      </c>
      <c r="M13" s="57">
        <v>23331.3</v>
      </c>
      <c r="N13" s="57"/>
      <c r="O13" s="7"/>
      <c r="P13" s="1"/>
    </row>
    <row r="14" spans="1:16" x14ac:dyDescent="0.3">
      <c r="A14" s="11" t="s">
        <v>200</v>
      </c>
      <c r="B14" s="66" t="s">
        <v>273</v>
      </c>
      <c r="C14" s="49" t="s">
        <v>12</v>
      </c>
      <c r="D14" s="42" t="s">
        <v>212</v>
      </c>
      <c r="E14" s="9" t="s">
        <v>21</v>
      </c>
      <c r="F14" s="23" t="s">
        <v>245</v>
      </c>
      <c r="G14" s="9"/>
      <c r="H14" s="14"/>
      <c r="I14" s="14"/>
      <c r="J14" s="23" t="s">
        <v>17</v>
      </c>
      <c r="K14" s="14"/>
      <c r="L14" s="57">
        <v>20.2257</v>
      </c>
      <c r="M14" s="57">
        <v>12794.2</v>
      </c>
      <c r="N14" s="57"/>
      <c r="O14" s="7"/>
      <c r="P14" s="1"/>
    </row>
    <row r="15" spans="1:16" x14ac:dyDescent="0.3">
      <c r="A15" s="11" t="s">
        <v>201</v>
      </c>
      <c r="B15" s="66" t="s">
        <v>274</v>
      </c>
      <c r="C15" s="49" t="s">
        <v>12</v>
      </c>
      <c r="D15" s="42" t="s">
        <v>212</v>
      </c>
      <c r="E15" s="9" t="s">
        <v>13</v>
      </c>
      <c r="F15" s="23" t="s">
        <v>239</v>
      </c>
      <c r="G15" s="9"/>
      <c r="H15" s="14"/>
      <c r="I15" s="14"/>
      <c r="J15" s="23" t="s">
        <v>17</v>
      </c>
      <c r="K15" s="14"/>
      <c r="L15" s="57">
        <v>20.290400000000002</v>
      </c>
      <c r="M15" s="57">
        <v>17286.3</v>
      </c>
      <c r="N15" s="57"/>
      <c r="O15" s="7"/>
      <c r="P15" s="1"/>
    </row>
    <row r="16" spans="1:16" x14ac:dyDescent="0.3">
      <c r="A16" s="11" t="s">
        <v>202</v>
      </c>
      <c r="B16" s="67"/>
      <c r="C16" s="49" t="s">
        <v>12</v>
      </c>
      <c r="D16" s="42" t="s">
        <v>212</v>
      </c>
      <c r="E16" s="9" t="s">
        <v>13</v>
      </c>
      <c r="F16" s="56" t="s">
        <v>234</v>
      </c>
      <c r="G16" s="9"/>
      <c r="H16" s="14"/>
      <c r="I16" s="14"/>
      <c r="J16" s="23" t="s">
        <v>17</v>
      </c>
      <c r="K16" s="14"/>
      <c r="L16" s="57">
        <v>22.3811</v>
      </c>
      <c r="M16" s="57">
        <v>44.812399999999997</v>
      </c>
      <c r="N16" s="57"/>
      <c r="O16" s="7"/>
      <c r="P16" s="1"/>
    </row>
    <row r="17" spans="1:16" x14ac:dyDescent="0.3">
      <c r="A17" s="11" t="s">
        <v>203</v>
      </c>
      <c r="B17" s="66" t="s">
        <v>275</v>
      </c>
      <c r="C17" s="49" t="s">
        <v>12</v>
      </c>
      <c r="D17" s="42" t="s">
        <v>213</v>
      </c>
      <c r="E17" s="9" t="s">
        <v>13</v>
      </c>
      <c r="F17" s="23" t="s">
        <v>238</v>
      </c>
      <c r="G17" s="9"/>
      <c r="H17" s="14"/>
      <c r="I17" s="14"/>
      <c r="J17" s="23" t="s">
        <v>17</v>
      </c>
      <c r="K17" s="14"/>
      <c r="L17" s="57">
        <v>29.2043</v>
      </c>
      <c r="M17" s="57">
        <v>18872.8</v>
      </c>
      <c r="N17" s="57"/>
      <c r="O17" s="7"/>
      <c r="P17" s="1"/>
    </row>
    <row r="18" spans="1:16" x14ac:dyDescent="0.3">
      <c r="A18" s="11" t="s">
        <v>204</v>
      </c>
      <c r="B18" s="66" t="s">
        <v>276</v>
      </c>
      <c r="C18" s="49" t="s">
        <v>12</v>
      </c>
      <c r="D18" s="42" t="s">
        <v>213</v>
      </c>
      <c r="E18" s="9" t="s">
        <v>13</v>
      </c>
      <c r="F18" s="23" t="s">
        <v>238</v>
      </c>
      <c r="G18" s="9"/>
      <c r="H18" s="14"/>
      <c r="I18" s="14"/>
      <c r="J18" s="23" t="s">
        <v>17</v>
      </c>
      <c r="K18" s="14"/>
      <c r="L18" s="57">
        <v>24.453399999999998</v>
      </c>
      <c r="M18" s="57">
        <v>22815.4</v>
      </c>
      <c r="N18" s="57"/>
      <c r="O18" s="7"/>
      <c r="P18" s="1"/>
    </row>
    <row r="19" spans="1:16" x14ac:dyDescent="0.3">
      <c r="A19" s="11" t="s">
        <v>205</v>
      </c>
      <c r="B19" s="66" t="s">
        <v>277</v>
      </c>
      <c r="C19" s="49" t="s">
        <v>12</v>
      </c>
      <c r="D19" s="42" t="s">
        <v>213</v>
      </c>
      <c r="E19" s="9" t="s">
        <v>13</v>
      </c>
      <c r="F19" s="23" t="s">
        <v>237</v>
      </c>
      <c r="G19" s="9"/>
      <c r="H19" s="14"/>
      <c r="I19" s="14"/>
      <c r="J19" s="23" t="s">
        <v>17</v>
      </c>
      <c r="K19" s="14"/>
      <c r="L19" s="57">
        <v>19.702200000000001</v>
      </c>
      <c r="M19" s="57">
        <v>29231.4</v>
      </c>
      <c r="N19" s="57"/>
      <c r="O19" s="7"/>
      <c r="P19" s="1"/>
    </row>
    <row r="20" spans="1:16" x14ac:dyDescent="0.3">
      <c r="A20" s="11" t="s">
        <v>206</v>
      </c>
      <c r="B20" s="66" t="s">
        <v>278</v>
      </c>
      <c r="C20" s="49" t="s">
        <v>12</v>
      </c>
      <c r="D20" s="42" t="s">
        <v>213</v>
      </c>
      <c r="E20" s="9" t="s">
        <v>21</v>
      </c>
      <c r="F20" s="23" t="s">
        <v>238</v>
      </c>
      <c r="G20" s="9"/>
      <c r="H20" s="14"/>
      <c r="I20" s="14"/>
      <c r="J20" s="23" t="s">
        <v>17</v>
      </c>
      <c r="K20" s="14"/>
      <c r="L20" s="57">
        <v>24.5151</v>
      </c>
      <c r="M20" s="57">
        <v>10265.1</v>
      </c>
      <c r="N20" s="57"/>
    </row>
    <row r="21" spans="1:16" x14ac:dyDescent="0.3">
      <c r="A21" s="11" t="s">
        <v>207</v>
      </c>
      <c r="B21" s="66" t="s">
        <v>279</v>
      </c>
      <c r="C21" s="49" t="s">
        <v>12</v>
      </c>
      <c r="D21" s="42" t="s">
        <v>213</v>
      </c>
      <c r="E21" s="9" t="s">
        <v>21</v>
      </c>
      <c r="F21" s="23" t="s">
        <v>237</v>
      </c>
      <c r="G21" s="9"/>
      <c r="H21" s="14"/>
      <c r="I21" s="14"/>
      <c r="J21" s="23" t="s">
        <v>17</v>
      </c>
      <c r="K21" s="14"/>
      <c r="L21" s="57">
        <v>21.5242</v>
      </c>
      <c r="M21" s="57">
        <v>3068.67</v>
      </c>
      <c r="N21" s="57"/>
      <c r="O21" s="7"/>
      <c r="P21" s="1"/>
    </row>
    <row r="22" spans="1:16" x14ac:dyDescent="0.3">
      <c r="A22" s="11" t="s">
        <v>247</v>
      </c>
      <c r="B22" s="67"/>
      <c r="C22" s="49" t="s">
        <v>191</v>
      </c>
      <c r="D22" s="42" t="s">
        <v>255</v>
      </c>
      <c r="E22" s="23" t="s">
        <v>13</v>
      </c>
      <c r="F22" s="23" t="s">
        <v>254</v>
      </c>
      <c r="G22" s="65">
        <v>42171</v>
      </c>
      <c r="H22" s="14"/>
      <c r="I22" s="14"/>
      <c r="J22" s="23" t="s">
        <v>17</v>
      </c>
      <c r="K22" s="14"/>
      <c r="L22" s="57">
        <v>34.535800000000002</v>
      </c>
      <c r="M22" s="57" t="s">
        <v>111</v>
      </c>
      <c r="N22" s="57" t="s">
        <v>269</v>
      </c>
      <c r="O22" s="7"/>
      <c r="P22" s="1"/>
    </row>
    <row r="23" spans="1:16" x14ac:dyDescent="0.3">
      <c r="A23" s="11" t="s">
        <v>248</v>
      </c>
      <c r="B23" s="67"/>
      <c r="C23" s="49" t="s">
        <v>12</v>
      </c>
      <c r="D23" s="42" t="s">
        <v>256</v>
      </c>
      <c r="E23" s="9" t="s">
        <v>21</v>
      </c>
      <c r="F23" s="56" t="s">
        <v>257</v>
      </c>
      <c r="G23" s="47">
        <v>41600</v>
      </c>
      <c r="H23" s="14"/>
      <c r="I23" s="14"/>
      <c r="J23" s="23" t="s">
        <v>17</v>
      </c>
      <c r="K23" s="14"/>
      <c r="L23" s="57">
        <v>25.303000000000001</v>
      </c>
      <c r="M23" s="57" t="s">
        <v>111</v>
      </c>
      <c r="N23" s="57" t="s">
        <v>269</v>
      </c>
      <c r="O23" s="7"/>
      <c r="P23" s="1"/>
    </row>
    <row r="24" spans="1:16" x14ac:dyDescent="0.3">
      <c r="A24" s="11" t="s">
        <v>249</v>
      </c>
      <c r="B24" s="9"/>
      <c r="C24" s="49" t="s">
        <v>12</v>
      </c>
      <c r="D24" s="42" t="s">
        <v>256</v>
      </c>
      <c r="E24" s="23" t="s">
        <v>13</v>
      </c>
      <c r="F24" s="56" t="s">
        <v>257</v>
      </c>
      <c r="G24" s="47">
        <v>41600</v>
      </c>
      <c r="H24" s="14"/>
      <c r="I24" s="14"/>
      <c r="J24" s="23" t="s">
        <v>17</v>
      </c>
      <c r="K24" s="14"/>
      <c r="L24" s="57">
        <v>23.883400000000002</v>
      </c>
      <c r="M24" s="57" t="s">
        <v>111</v>
      </c>
      <c r="N24" s="57" t="s">
        <v>269</v>
      </c>
      <c r="O24" s="7"/>
      <c r="P24" s="1"/>
    </row>
    <row r="25" spans="1:16" x14ac:dyDescent="0.3">
      <c r="A25" s="11" t="s">
        <v>214</v>
      </c>
      <c r="B25" s="23"/>
      <c r="C25" s="49" t="s">
        <v>191</v>
      </c>
      <c r="D25" s="42" t="s">
        <v>231</v>
      </c>
      <c r="E25" s="23" t="s">
        <v>21</v>
      </c>
      <c r="F25" s="8" t="s">
        <v>235</v>
      </c>
      <c r="G25" s="47">
        <v>39412</v>
      </c>
      <c r="H25" s="11"/>
      <c r="I25" s="11"/>
      <c r="J25" s="23" t="s">
        <v>17</v>
      </c>
      <c r="K25" s="11"/>
      <c r="L25" s="58">
        <v>26.101099999999999</v>
      </c>
      <c r="M25" s="58">
        <v>468.9</v>
      </c>
      <c r="N25" s="58"/>
      <c r="O25" s="7"/>
      <c r="P25" s="1"/>
    </row>
    <row r="26" spans="1:16" x14ac:dyDescent="0.3">
      <c r="A26" s="11" t="s">
        <v>215</v>
      </c>
      <c r="B26" s="23"/>
      <c r="C26" s="49" t="s">
        <v>191</v>
      </c>
      <c r="D26" s="42" t="s">
        <v>231</v>
      </c>
      <c r="E26" s="23" t="s">
        <v>13</v>
      </c>
      <c r="F26" s="8" t="s">
        <v>235</v>
      </c>
      <c r="G26" s="47">
        <v>37400</v>
      </c>
      <c r="H26" s="11"/>
      <c r="I26" s="11"/>
      <c r="J26" s="23" t="s">
        <v>17</v>
      </c>
      <c r="K26" s="11"/>
      <c r="L26" s="58">
        <v>25.486699999999999</v>
      </c>
      <c r="M26" s="58">
        <v>1363.55</v>
      </c>
      <c r="N26" s="58"/>
      <c r="O26" s="7"/>
      <c r="P26" s="1"/>
    </row>
    <row r="27" spans="1:16" x14ac:dyDescent="0.3">
      <c r="A27" s="11" t="s">
        <v>216</v>
      </c>
      <c r="B27" s="23"/>
      <c r="C27" s="49" t="s">
        <v>191</v>
      </c>
      <c r="D27" s="42" t="s">
        <v>231</v>
      </c>
      <c r="E27" s="23" t="s">
        <v>13</v>
      </c>
      <c r="F27" s="8" t="s">
        <v>235</v>
      </c>
      <c r="G27" s="47">
        <v>37070</v>
      </c>
      <c r="H27" s="11"/>
      <c r="I27" s="11"/>
      <c r="J27" s="23" t="s">
        <v>17</v>
      </c>
      <c r="K27" s="11"/>
      <c r="L27" s="58">
        <v>25.4236</v>
      </c>
      <c r="M27" s="58">
        <v>1189.6300000000001</v>
      </c>
      <c r="N27" s="58"/>
      <c r="O27" s="7"/>
      <c r="P27" s="1"/>
    </row>
    <row r="28" spans="1:16" x14ac:dyDescent="0.3">
      <c r="A28" s="11" t="s">
        <v>217</v>
      </c>
      <c r="B28" s="23"/>
      <c r="C28" s="49" t="s">
        <v>191</v>
      </c>
      <c r="D28" s="42" t="s">
        <v>231</v>
      </c>
      <c r="E28" s="23" t="s">
        <v>13</v>
      </c>
      <c r="F28" s="8" t="s">
        <v>235</v>
      </c>
      <c r="G28" s="47">
        <v>38692</v>
      </c>
      <c r="H28" s="11"/>
      <c r="I28" s="11"/>
      <c r="J28" s="23" t="s">
        <v>17</v>
      </c>
      <c r="K28" s="11"/>
      <c r="L28" s="58">
        <v>25.135999999999999</v>
      </c>
      <c r="M28" s="58">
        <v>4058.47</v>
      </c>
      <c r="N28" s="58"/>
      <c r="O28" s="7"/>
      <c r="P28" s="1"/>
    </row>
    <row r="29" spans="1:16" x14ac:dyDescent="0.3">
      <c r="A29" s="11" t="s">
        <v>218</v>
      </c>
      <c r="B29" s="23"/>
      <c r="C29" s="49" t="s">
        <v>191</v>
      </c>
      <c r="D29" s="42" t="s">
        <v>231</v>
      </c>
      <c r="E29" s="23" t="s">
        <v>13</v>
      </c>
      <c r="F29" s="8" t="s">
        <v>235</v>
      </c>
      <c r="G29" s="47">
        <v>39378</v>
      </c>
      <c r="H29" s="11"/>
      <c r="I29" s="11"/>
      <c r="J29" s="23" t="s">
        <v>17</v>
      </c>
      <c r="K29" s="11"/>
      <c r="L29" s="58">
        <v>21.997699999999998</v>
      </c>
      <c r="M29" s="58">
        <v>5217.8599999999997</v>
      </c>
      <c r="N29" s="58"/>
      <c r="O29" s="7"/>
      <c r="P29" s="1"/>
    </row>
    <row r="30" spans="1:16" x14ac:dyDescent="0.3">
      <c r="A30" s="11" t="s">
        <v>219</v>
      </c>
      <c r="B30" s="23"/>
      <c r="C30" s="49" t="s">
        <v>191</v>
      </c>
      <c r="D30" s="42" t="s">
        <v>231</v>
      </c>
      <c r="E30" s="23" t="s">
        <v>21</v>
      </c>
      <c r="F30" s="8" t="s">
        <v>235</v>
      </c>
      <c r="G30" s="47">
        <v>39412</v>
      </c>
      <c r="H30" s="11"/>
      <c r="I30" s="11"/>
      <c r="J30" s="23" t="s">
        <v>17</v>
      </c>
      <c r="K30" s="11"/>
      <c r="L30" s="58">
        <v>22.583300000000001</v>
      </c>
      <c r="M30" s="58">
        <v>3028.32</v>
      </c>
      <c r="N30" s="58"/>
      <c r="O30" s="7"/>
      <c r="P30" s="1"/>
    </row>
    <row r="31" spans="1:16" x14ac:dyDescent="0.3">
      <c r="A31" s="11" t="s">
        <v>220</v>
      </c>
      <c r="B31" s="23"/>
      <c r="C31" s="49" t="s">
        <v>191</v>
      </c>
      <c r="D31" s="42" t="s">
        <v>231</v>
      </c>
      <c r="E31" s="23" t="s">
        <v>21</v>
      </c>
      <c r="F31" s="8" t="s">
        <v>235</v>
      </c>
      <c r="G31" s="47">
        <v>38692</v>
      </c>
      <c r="H31" s="11"/>
      <c r="I31" s="11"/>
      <c r="J31" s="23" t="s">
        <v>17</v>
      </c>
      <c r="K31" s="11"/>
      <c r="L31" s="58">
        <v>23.4148</v>
      </c>
      <c r="M31" s="58">
        <v>681.78599999999994</v>
      </c>
      <c r="N31" s="58"/>
      <c r="O31" s="7"/>
      <c r="P31" s="1"/>
    </row>
    <row r="32" spans="1:16" x14ac:dyDescent="0.3">
      <c r="A32" s="11" t="s">
        <v>221</v>
      </c>
      <c r="B32" s="23"/>
      <c r="C32" s="49" t="s">
        <v>191</v>
      </c>
      <c r="D32" s="42" t="s">
        <v>231</v>
      </c>
      <c r="E32" s="23" t="s">
        <v>13</v>
      </c>
      <c r="F32" s="8" t="s">
        <v>235</v>
      </c>
      <c r="G32" s="47">
        <v>39205</v>
      </c>
      <c r="H32" s="11"/>
      <c r="I32" s="11"/>
      <c r="J32" s="23" t="s">
        <v>17</v>
      </c>
      <c r="K32" s="11"/>
      <c r="L32" s="58">
        <v>20.880199999999999</v>
      </c>
      <c r="M32" s="58">
        <v>976.952</v>
      </c>
      <c r="N32" s="58"/>
      <c r="O32" s="7"/>
      <c r="P32" s="1"/>
    </row>
    <row r="33" spans="1:16" x14ac:dyDescent="0.3">
      <c r="A33" s="11" t="s">
        <v>222</v>
      </c>
      <c r="B33" s="23"/>
      <c r="C33" s="49" t="s">
        <v>191</v>
      </c>
      <c r="D33" s="42" t="s">
        <v>231</v>
      </c>
      <c r="E33" s="23" t="s">
        <v>13</v>
      </c>
      <c r="F33" s="8" t="s">
        <v>235</v>
      </c>
      <c r="G33" s="47">
        <v>39600</v>
      </c>
      <c r="H33" s="11"/>
      <c r="I33" s="11"/>
      <c r="J33" s="23" t="s">
        <v>17</v>
      </c>
      <c r="K33" s="11"/>
      <c r="L33" s="58">
        <v>22.754000000000001</v>
      </c>
      <c r="M33" s="58">
        <v>13874.4</v>
      </c>
      <c r="N33" s="58"/>
      <c r="O33" s="7"/>
      <c r="P33" s="1"/>
    </row>
    <row r="34" spans="1:16" x14ac:dyDescent="0.3">
      <c r="A34" s="11" t="s">
        <v>223</v>
      </c>
      <c r="B34" s="23"/>
      <c r="C34" s="49" t="s">
        <v>191</v>
      </c>
      <c r="D34" s="42" t="s">
        <v>231</v>
      </c>
      <c r="E34" s="23" t="s">
        <v>13</v>
      </c>
      <c r="F34" s="8" t="s">
        <v>235</v>
      </c>
      <c r="G34" s="47">
        <v>37390</v>
      </c>
      <c r="H34" s="11"/>
      <c r="I34" s="11"/>
      <c r="J34" s="23" t="s">
        <v>17</v>
      </c>
      <c r="K34" s="11"/>
      <c r="L34" s="58">
        <v>25.923400000000001</v>
      </c>
      <c r="M34" s="58">
        <v>21306.5</v>
      </c>
      <c r="N34" s="58"/>
      <c r="O34" s="2"/>
      <c r="P34" s="3"/>
    </row>
    <row r="35" spans="1:16" x14ac:dyDescent="0.3">
      <c r="A35" s="11" t="s">
        <v>224</v>
      </c>
      <c r="B35" s="23"/>
      <c r="C35" s="49" t="s">
        <v>191</v>
      </c>
      <c r="D35" s="42" t="s">
        <v>231</v>
      </c>
      <c r="E35" s="23" t="s">
        <v>21</v>
      </c>
      <c r="F35" s="8" t="s">
        <v>235</v>
      </c>
      <c r="G35" s="47">
        <v>37285</v>
      </c>
      <c r="H35" s="11"/>
      <c r="I35" s="11"/>
      <c r="J35" s="23" t="s">
        <v>17</v>
      </c>
      <c r="K35" s="11"/>
      <c r="L35" s="58">
        <v>17.386800000000001</v>
      </c>
      <c r="M35" s="58">
        <v>2393.5100000000002</v>
      </c>
      <c r="N35" s="58"/>
      <c r="O35" s="7"/>
      <c r="P35" s="1"/>
    </row>
    <row r="36" spans="1:16" x14ac:dyDescent="0.3">
      <c r="A36" s="11" t="s">
        <v>225</v>
      </c>
      <c r="B36" s="56" t="s">
        <v>280</v>
      </c>
      <c r="C36" s="49" t="s">
        <v>191</v>
      </c>
      <c r="D36" s="42" t="s">
        <v>231</v>
      </c>
      <c r="E36" s="23" t="s">
        <v>21</v>
      </c>
      <c r="F36" s="8" t="s">
        <v>235</v>
      </c>
      <c r="G36" s="23"/>
      <c r="H36" s="11"/>
      <c r="I36" s="11"/>
      <c r="J36" s="23" t="s">
        <v>17</v>
      </c>
      <c r="K36" s="11"/>
      <c r="L36" s="58">
        <v>34.4893</v>
      </c>
      <c r="M36" s="58">
        <v>11867.9</v>
      </c>
      <c r="N36" s="58"/>
      <c r="O36" s="7"/>
      <c r="P36" s="1"/>
    </row>
    <row r="37" spans="1:16" x14ac:dyDescent="0.3">
      <c r="A37" s="11" t="s">
        <v>226</v>
      </c>
      <c r="B37" s="23"/>
      <c r="C37" s="49" t="s">
        <v>191</v>
      </c>
      <c r="D37" s="42" t="s">
        <v>232</v>
      </c>
      <c r="E37" s="23" t="s">
        <v>21</v>
      </c>
      <c r="F37" s="8" t="s">
        <v>236</v>
      </c>
      <c r="G37" s="23">
        <v>2015</v>
      </c>
      <c r="H37" s="11"/>
      <c r="I37" s="11"/>
      <c r="J37" s="23" t="s">
        <v>17</v>
      </c>
      <c r="K37" s="11"/>
      <c r="L37" s="58">
        <v>23.022400000000001</v>
      </c>
      <c r="M37" s="58">
        <v>2249.4499999999998</v>
      </c>
      <c r="N37" s="58"/>
      <c r="O37" s="7"/>
      <c r="P37" s="1"/>
    </row>
    <row r="38" spans="1:16" x14ac:dyDescent="0.3">
      <c r="A38" s="11" t="s">
        <v>227</v>
      </c>
      <c r="B38" s="23"/>
      <c r="C38" s="49" t="s">
        <v>191</v>
      </c>
      <c r="D38" s="42" t="s">
        <v>232</v>
      </c>
      <c r="E38" s="23" t="s">
        <v>21</v>
      </c>
      <c r="F38" s="8" t="s">
        <v>236</v>
      </c>
      <c r="G38" s="23">
        <v>2015</v>
      </c>
      <c r="H38" s="11"/>
      <c r="I38" s="11"/>
      <c r="J38" s="23" t="s">
        <v>17</v>
      </c>
      <c r="K38" s="11"/>
      <c r="L38" s="58">
        <v>23.9939</v>
      </c>
      <c r="M38" s="58">
        <v>7589.14</v>
      </c>
      <c r="N38" s="58"/>
      <c r="P38" s="1"/>
    </row>
    <row r="39" spans="1:16" x14ac:dyDescent="0.3">
      <c r="A39" s="11" t="s">
        <v>228</v>
      </c>
      <c r="B39" s="23"/>
      <c r="C39" s="49" t="s">
        <v>191</v>
      </c>
      <c r="D39" s="42" t="s">
        <v>232</v>
      </c>
      <c r="E39" s="23" t="s">
        <v>13</v>
      </c>
      <c r="F39" s="8" t="s">
        <v>236</v>
      </c>
      <c r="G39" s="23">
        <v>2015</v>
      </c>
      <c r="H39" s="11"/>
      <c r="I39" s="11"/>
      <c r="J39" s="23" t="s">
        <v>17</v>
      </c>
      <c r="K39" s="11"/>
      <c r="L39" s="58">
        <v>23.616599999999998</v>
      </c>
      <c r="M39" s="58">
        <v>1122.3900000000001</v>
      </c>
      <c r="N39" s="58"/>
      <c r="P39" s="1"/>
    </row>
    <row r="40" spans="1:16" x14ac:dyDescent="0.3">
      <c r="A40" s="11" t="s">
        <v>250</v>
      </c>
      <c r="B40" s="23"/>
      <c r="C40" s="49" t="s">
        <v>12</v>
      </c>
      <c r="D40" s="42" t="s">
        <v>256</v>
      </c>
      <c r="E40" s="23" t="s">
        <v>21</v>
      </c>
      <c r="F40" s="8" t="s">
        <v>236</v>
      </c>
      <c r="G40" s="23">
        <v>2015</v>
      </c>
      <c r="H40" s="11"/>
      <c r="I40" s="11"/>
      <c r="J40" s="23" t="s">
        <v>17</v>
      </c>
      <c r="K40" s="11"/>
      <c r="L40" s="58">
        <v>29.470500000000001</v>
      </c>
      <c r="M40" s="23" t="s">
        <v>111</v>
      </c>
      <c r="N40" s="57" t="s">
        <v>269</v>
      </c>
      <c r="P40" s="1"/>
    </row>
    <row r="41" spans="1:16" ht="15" thickBot="1" x14ac:dyDescent="0.35">
      <c r="A41" s="48" t="s">
        <v>229</v>
      </c>
      <c r="B41" s="26"/>
      <c r="C41" s="50" t="s">
        <v>230</v>
      </c>
      <c r="D41" s="44" t="s">
        <v>233</v>
      </c>
      <c r="E41" s="26" t="s">
        <v>13</v>
      </c>
      <c r="F41" s="19" t="s">
        <v>244</v>
      </c>
      <c r="G41" s="26"/>
      <c r="H41" s="48"/>
      <c r="I41" s="48"/>
      <c r="J41" s="26" t="s">
        <v>27</v>
      </c>
      <c r="K41" s="48"/>
      <c r="L41" s="59">
        <v>20.052399999999999</v>
      </c>
      <c r="M41" s="59">
        <v>17745.3</v>
      </c>
      <c r="N41" s="59"/>
      <c r="P41" s="1"/>
    </row>
    <row r="42" spans="1:16" x14ac:dyDescent="0.3">
      <c r="A42" s="11"/>
      <c r="B42" s="23"/>
      <c r="C42" s="49"/>
      <c r="D42" s="42"/>
      <c r="E42" s="23"/>
      <c r="F42" s="23"/>
      <c r="G42" s="11"/>
      <c r="H42" s="11"/>
      <c r="I42" s="11"/>
      <c r="J42" s="23"/>
      <c r="K42" s="11"/>
      <c r="L42" s="58"/>
      <c r="M42" s="58"/>
      <c r="N42" s="58"/>
      <c r="O42" s="2"/>
      <c r="P42" s="3"/>
    </row>
    <row r="43" spans="1:16" x14ac:dyDescent="0.3">
      <c r="A43" s="16" t="s">
        <v>253</v>
      </c>
      <c r="B43" s="23"/>
      <c r="C43" s="49"/>
      <c r="D43" s="42"/>
      <c r="E43" s="23"/>
      <c r="F43" s="23"/>
      <c r="G43" s="11"/>
      <c r="H43" s="11"/>
      <c r="I43" s="11"/>
      <c r="J43" s="23"/>
      <c r="K43" s="11"/>
      <c r="L43" s="58"/>
      <c r="M43" s="58"/>
      <c r="N43" s="58"/>
      <c r="O43" s="2"/>
      <c r="P43" s="3"/>
    </row>
    <row r="44" spans="1:16" ht="15" thickBot="1" x14ac:dyDescent="0.35">
      <c r="A44" s="60" t="s">
        <v>251</v>
      </c>
      <c r="B44" s="63"/>
      <c r="C44" s="61" t="s">
        <v>259</v>
      </c>
      <c r="D44" s="62" t="s">
        <v>258</v>
      </c>
      <c r="E44" s="63" t="s">
        <v>21</v>
      </c>
      <c r="F44" s="63"/>
      <c r="G44" s="60"/>
      <c r="H44" s="60"/>
      <c r="I44" s="60"/>
      <c r="J44" s="63" t="s">
        <v>17</v>
      </c>
      <c r="K44" s="60"/>
      <c r="L44" s="64">
        <v>72.626999999999995</v>
      </c>
      <c r="M44" s="64" t="s">
        <v>111</v>
      </c>
      <c r="N44" s="64" t="s">
        <v>269</v>
      </c>
      <c r="O44" s="2"/>
      <c r="P44" s="3"/>
    </row>
    <row r="45" spans="1:16" x14ac:dyDescent="0.3">
      <c r="A45" s="15"/>
      <c r="B45" s="15"/>
      <c r="C45" s="5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2"/>
      <c r="P45" s="3"/>
    </row>
    <row r="46" spans="1:16" x14ac:dyDescent="0.3">
      <c r="A46" s="36" t="s">
        <v>187</v>
      </c>
      <c r="B46" s="40"/>
      <c r="C46" s="53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</row>
    <row r="47" spans="1:16" x14ac:dyDescent="0.3">
      <c r="A47" s="11" t="s">
        <v>10</v>
      </c>
      <c r="B47" s="23" t="s">
        <v>11</v>
      </c>
      <c r="C47" s="49" t="s">
        <v>12</v>
      </c>
      <c r="D47" s="42" t="s">
        <v>209</v>
      </c>
      <c r="E47" s="23" t="s">
        <v>13</v>
      </c>
      <c r="F47" s="23" t="s">
        <v>14</v>
      </c>
      <c r="G47" s="47">
        <v>39940</v>
      </c>
      <c r="H47" s="23" t="s">
        <v>15</v>
      </c>
      <c r="I47" s="23" t="s">
        <v>16</v>
      </c>
      <c r="J47" s="23" t="s">
        <v>17</v>
      </c>
      <c r="K47" s="23" t="s">
        <v>18</v>
      </c>
      <c r="L47" s="43">
        <v>28.937100000000001</v>
      </c>
      <c r="M47" s="43">
        <v>52.927599999999998</v>
      </c>
      <c r="N47" s="43"/>
      <c r="O47" s="2"/>
      <c r="P47" s="3"/>
    </row>
    <row r="48" spans="1:16" x14ac:dyDescent="0.3">
      <c r="A48" s="11" t="s">
        <v>19</v>
      </c>
      <c r="B48" s="23" t="s">
        <v>20</v>
      </c>
      <c r="C48" s="49" t="s">
        <v>12</v>
      </c>
      <c r="D48" s="42" t="s">
        <v>209</v>
      </c>
      <c r="E48" s="23" t="s">
        <v>21</v>
      </c>
      <c r="F48" s="23" t="s">
        <v>14</v>
      </c>
      <c r="G48" s="47">
        <v>39947</v>
      </c>
      <c r="H48" s="23" t="s">
        <v>15</v>
      </c>
      <c r="I48" s="23" t="s">
        <v>16</v>
      </c>
      <c r="J48" s="23" t="s">
        <v>17</v>
      </c>
      <c r="K48" s="23" t="s">
        <v>22</v>
      </c>
      <c r="L48" s="43">
        <v>38.603299999999997</v>
      </c>
      <c r="M48" s="43">
        <v>63.4724</v>
      </c>
      <c r="N48" s="43"/>
      <c r="O48" s="2"/>
      <c r="P48" s="3"/>
    </row>
    <row r="49" spans="1:16" x14ac:dyDescent="0.3">
      <c r="A49" s="11" t="s">
        <v>23</v>
      </c>
      <c r="B49" s="23" t="s">
        <v>24</v>
      </c>
      <c r="C49" s="49" t="s">
        <v>12</v>
      </c>
      <c r="D49" s="42" t="s">
        <v>211</v>
      </c>
      <c r="E49" s="23" t="s">
        <v>21</v>
      </c>
      <c r="F49" s="23" t="s">
        <v>25</v>
      </c>
      <c r="G49" s="47">
        <v>39356</v>
      </c>
      <c r="H49" s="23" t="s">
        <v>26</v>
      </c>
      <c r="I49" s="23" t="s">
        <v>16</v>
      </c>
      <c r="J49" s="23" t="s">
        <v>27</v>
      </c>
      <c r="K49" s="23" t="s">
        <v>28</v>
      </c>
      <c r="L49" s="43">
        <v>32.675400000000003</v>
      </c>
      <c r="M49" s="43">
        <v>43.0321</v>
      </c>
      <c r="N49" s="43"/>
    </row>
    <row r="50" spans="1:16" x14ac:dyDescent="0.3">
      <c r="A50" s="11" t="s">
        <v>29</v>
      </c>
      <c r="B50" s="23" t="s">
        <v>30</v>
      </c>
      <c r="C50" s="49" t="s">
        <v>12</v>
      </c>
      <c r="D50" s="42" t="s">
        <v>211</v>
      </c>
      <c r="E50" s="23" t="s">
        <v>21</v>
      </c>
      <c r="F50" s="23" t="s">
        <v>25</v>
      </c>
      <c r="G50" s="47">
        <v>39356</v>
      </c>
      <c r="H50" s="23" t="s">
        <v>26</v>
      </c>
      <c r="I50" s="23" t="s">
        <v>16</v>
      </c>
      <c r="J50" s="23" t="s">
        <v>27</v>
      </c>
      <c r="K50" s="23" t="s">
        <v>31</v>
      </c>
      <c r="L50" s="43">
        <v>44.298699999999997</v>
      </c>
      <c r="M50" s="43">
        <v>15.735300000000001</v>
      </c>
      <c r="N50" s="43"/>
      <c r="O50" s="2"/>
      <c r="P50" s="3"/>
    </row>
    <row r="51" spans="1:16" x14ac:dyDescent="0.3">
      <c r="A51" s="11" t="s">
        <v>32</v>
      </c>
      <c r="B51" s="23" t="s">
        <v>33</v>
      </c>
      <c r="C51" s="49" t="s">
        <v>12</v>
      </c>
      <c r="D51" s="42" t="s">
        <v>209</v>
      </c>
      <c r="E51" s="23" t="s">
        <v>13</v>
      </c>
      <c r="F51" s="23" t="s">
        <v>14</v>
      </c>
      <c r="G51" s="47">
        <v>39953</v>
      </c>
      <c r="H51" s="23" t="s">
        <v>15</v>
      </c>
      <c r="I51" s="23" t="s">
        <v>16</v>
      </c>
      <c r="J51" s="23" t="s">
        <v>17</v>
      </c>
      <c r="K51" s="23" t="s">
        <v>34</v>
      </c>
      <c r="L51" s="43">
        <v>42.241399999999999</v>
      </c>
      <c r="M51" s="43">
        <v>107.215</v>
      </c>
      <c r="N51" s="43"/>
      <c r="O51" s="2"/>
      <c r="P51" s="3"/>
    </row>
    <row r="52" spans="1:16" x14ac:dyDescent="0.3">
      <c r="A52" s="11" t="s">
        <v>35</v>
      </c>
      <c r="B52" s="23" t="s">
        <v>36</v>
      </c>
      <c r="C52" s="49" t="s">
        <v>12</v>
      </c>
      <c r="D52" s="42" t="s">
        <v>211</v>
      </c>
      <c r="E52" s="23" t="s">
        <v>13</v>
      </c>
      <c r="F52" s="23" t="s">
        <v>25</v>
      </c>
      <c r="G52" s="47">
        <v>39358</v>
      </c>
      <c r="H52" s="23" t="s">
        <v>26</v>
      </c>
      <c r="I52" s="23" t="s">
        <v>16</v>
      </c>
      <c r="J52" s="23" t="s">
        <v>27</v>
      </c>
      <c r="K52" s="23" t="s">
        <v>37</v>
      </c>
      <c r="L52" s="43">
        <v>28.945</v>
      </c>
      <c r="M52" s="43">
        <v>25.709599999999998</v>
      </c>
      <c r="N52" s="43"/>
      <c r="O52" s="2"/>
      <c r="P52" s="3"/>
    </row>
    <row r="53" spans="1:16" x14ac:dyDescent="0.3">
      <c r="A53" s="11" t="s">
        <v>38</v>
      </c>
      <c r="B53" s="23" t="s">
        <v>39</v>
      </c>
      <c r="C53" s="49" t="s">
        <v>12</v>
      </c>
      <c r="D53" s="42" t="s">
        <v>211</v>
      </c>
      <c r="E53" s="23" t="s">
        <v>21</v>
      </c>
      <c r="F53" s="23" t="s">
        <v>25</v>
      </c>
      <c r="G53" s="47">
        <v>39360</v>
      </c>
      <c r="H53" s="23" t="s">
        <v>26</v>
      </c>
      <c r="I53" s="23" t="s">
        <v>16</v>
      </c>
      <c r="J53" s="23" t="s">
        <v>27</v>
      </c>
      <c r="K53" s="23" t="s">
        <v>40</v>
      </c>
      <c r="L53" s="43">
        <v>35.517899999999997</v>
      </c>
      <c r="M53" s="43">
        <v>54.014600000000002</v>
      </c>
      <c r="N53" s="43"/>
      <c r="O53" s="2"/>
      <c r="P53" s="3"/>
    </row>
    <row r="54" spans="1:16" x14ac:dyDescent="0.3">
      <c r="A54" s="11" t="s">
        <v>41</v>
      </c>
      <c r="B54" s="23" t="s">
        <v>42</v>
      </c>
      <c r="C54" s="49" t="s">
        <v>12</v>
      </c>
      <c r="D54" s="42" t="s">
        <v>211</v>
      </c>
      <c r="E54" s="23" t="s">
        <v>21</v>
      </c>
      <c r="F54" s="23" t="s">
        <v>25</v>
      </c>
      <c r="G54" s="47">
        <v>39361</v>
      </c>
      <c r="H54" s="23" t="s">
        <v>26</v>
      </c>
      <c r="I54" s="23" t="s">
        <v>16</v>
      </c>
      <c r="J54" s="23" t="s">
        <v>27</v>
      </c>
      <c r="K54" s="23" t="s">
        <v>43</v>
      </c>
      <c r="L54" s="43">
        <v>32.709299999999999</v>
      </c>
      <c r="M54" s="43">
        <v>67.647099999999995</v>
      </c>
      <c r="N54" s="43"/>
    </row>
    <row r="55" spans="1:16" x14ac:dyDescent="0.3">
      <c r="A55" s="11" t="s">
        <v>44</v>
      </c>
      <c r="B55" s="23" t="s">
        <v>45</v>
      </c>
      <c r="C55" s="49" t="s">
        <v>12</v>
      </c>
      <c r="D55" s="42" t="s">
        <v>211</v>
      </c>
      <c r="E55" s="23" t="s">
        <v>13</v>
      </c>
      <c r="F55" s="23" t="s">
        <v>25</v>
      </c>
      <c r="G55" s="47">
        <v>39361</v>
      </c>
      <c r="H55" s="23" t="s">
        <v>26</v>
      </c>
      <c r="I55" s="23" t="s">
        <v>16</v>
      </c>
      <c r="J55" s="23" t="s">
        <v>27</v>
      </c>
      <c r="K55" s="23" t="s">
        <v>46</v>
      </c>
      <c r="L55" s="43">
        <v>27.930599999999998</v>
      </c>
      <c r="M55" s="43">
        <v>51.250500000000002</v>
      </c>
      <c r="N55" s="43"/>
      <c r="O55" s="2"/>
      <c r="P55" s="3"/>
    </row>
    <row r="56" spans="1:16" x14ac:dyDescent="0.3">
      <c r="A56" s="11" t="s">
        <v>47</v>
      </c>
      <c r="B56" s="23" t="s">
        <v>48</v>
      </c>
      <c r="C56" s="49" t="s">
        <v>12</v>
      </c>
      <c r="D56" s="42" t="s">
        <v>211</v>
      </c>
      <c r="E56" s="23" t="s">
        <v>21</v>
      </c>
      <c r="F56" s="23" t="s">
        <v>25</v>
      </c>
      <c r="G56" s="47">
        <v>39363</v>
      </c>
      <c r="H56" s="23" t="s">
        <v>26</v>
      </c>
      <c r="I56" s="23" t="s">
        <v>16</v>
      </c>
      <c r="J56" s="23" t="s">
        <v>27</v>
      </c>
      <c r="K56" s="23" t="s">
        <v>49</v>
      </c>
      <c r="L56" s="43">
        <v>26.578499999999998</v>
      </c>
      <c r="M56" s="43">
        <v>39.728499999999997</v>
      </c>
      <c r="N56" s="43"/>
      <c r="O56" s="2"/>
      <c r="P56" s="3"/>
    </row>
    <row r="57" spans="1:16" x14ac:dyDescent="0.3">
      <c r="A57" s="11" t="s">
        <v>50</v>
      </c>
      <c r="B57" s="23" t="s">
        <v>51</v>
      </c>
      <c r="C57" s="49" t="s">
        <v>12</v>
      </c>
      <c r="D57" s="42" t="s">
        <v>209</v>
      </c>
      <c r="E57" s="23" t="s">
        <v>21</v>
      </c>
      <c r="F57" s="23" t="s">
        <v>14</v>
      </c>
      <c r="G57" s="47">
        <v>39951</v>
      </c>
      <c r="H57" s="23" t="s">
        <v>15</v>
      </c>
      <c r="I57" s="23" t="s">
        <v>16</v>
      </c>
      <c r="J57" s="23" t="s">
        <v>17</v>
      </c>
      <c r="K57" s="23" t="s">
        <v>52</v>
      </c>
      <c r="L57" s="43">
        <v>31.668199999999999</v>
      </c>
      <c r="M57" s="43">
        <v>100.53100000000001</v>
      </c>
      <c r="N57" s="43"/>
      <c r="O57" s="2"/>
      <c r="P57" s="3"/>
    </row>
    <row r="58" spans="1:16" x14ac:dyDescent="0.3">
      <c r="A58" s="11" t="s">
        <v>53</v>
      </c>
      <c r="B58" s="23" t="s">
        <v>54</v>
      </c>
      <c r="C58" s="49" t="s">
        <v>12</v>
      </c>
      <c r="D58" s="42" t="s">
        <v>209</v>
      </c>
      <c r="E58" s="23" t="s">
        <v>21</v>
      </c>
      <c r="F58" s="23" t="s">
        <v>14</v>
      </c>
      <c r="G58" s="47">
        <v>39955</v>
      </c>
      <c r="H58" s="23" t="s">
        <v>15</v>
      </c>
      <c r="I58" s="23" t="s">
        <v>16</v>
      </c>
      <c r="J58" s="23" t="s">
        <v>17</v>
      </c>
      <c r="K58" s="23" t="s">
        <v>55</v>
      </c>
      <c r="L58" s="43">
        <v>45.840699999999998</v>
      </c>
      <c r="M58" s="43">
        <v>108.226</v>
      </c>
      <c r="N58" s="43"/>
      <c r="O58" s="2"/>
      <c r="P58" s="3"/>
    </row>
    <row r="59" spans="1:16" x14ac:dyDescent="0.3">
      <c r="A59" s="11" t="s">
        <v>56</v>
      </c>
      <c r="B59" s="23" t="s">
        <v>57</v>
      </c>
      <c r="C59" s="49" t="s">
        <v>12</v>
      </c>
      <c r="D59" s="42" t="s">
        <v>209</v>
      </c>
      <c r="E59" s="23" t="s">
        <v>13</v>
      </c>
      <c r="F59" s="23" t="s">
        <v>14</v>
      </c>
      <c r="G59" s="47">
        <v>39962</v>
      </c>
      <c r="H59" s="23" t="s">
        <v>15</v>
      </c>
      <c r="I59" s="23" t="s">
        <v>16</v>
      </c>
      <c r="J59" s="23" t="s">
        <v>17</v>
      </c>
      <c r="K59" s="23" t="s">
        <v>58</v>
      </c>
      <c r="L59" s="43">
        <v>33.750300000000003</v>
      </c>
      <c r="M59" s="43">
        <v>31.3687</v>
      </c>
      <c r="N59" s="43"/>
      <c r="O59" s="2"/>
      <c r="P59" s="3"/>
    </row>
    <row r="60" spans="1:16" x14ac:dyDescent="0.3">
      <c r="A60" s="11" t="s">
        <v>59</v>
      </c>
      <c r="B60" s="23" t="s">
        <v>60</v>
      </c>
      <c r="C60" s="49" t="s">
        <v>12</v>
      </c>
      <c r="D60" s="42" t="s">
        <v>209</v>
      </c>
      <c r="E60" s="23" t="s">
        <v>13</v>
      </c>
      <c r="F60" s="23" t="s">
        <v>14</v>
      </c>
      <c r="G60" s="47">
        <v>39954</v>
      </c>
      <c r="H60" s="23" t="s">
        <v>15</v>
      </c>
      <c r="I60" s="23" t="s">
        <v>16</v>
      </c>
      <c r="J60" s="23" t="s">
        <v>17</v>
      </c>
      <c r="K60" s="23" t="s">
        <v>61</v>
      </c>
      <c r="L60" s="43">
        <v>34.453200000000002</v>
      </c>
      <c r="M60" s="43">
        <v>17.2638</v>
      </c>
      <c r="N60" s="43"/>
    </row>
    <row r="61" spans="1:16" x14ac:dyDescent="0.3">
      <c r="A61" s="11" t="s">
        <v>62</v>
      </c>
      <c r="B61" s="23" t="s">
        <v>63</v>
      </c>
      <c r="C61" s="49" t="s">
        <v>12</v>
      </c>
      <c r="D61" s="42" t="s">
        <v>209</v>
      </c>
      <c r="E61" s="23" t="s">
        <v>21</v>
      </c>
      <c r="F61" s="23" t="s">
        <v>14</v>
      </c>
      <c r="G61" s="47">
        <v>39951</v>
      </c>
      <c r="H61" s="23" t="s">
        <v>15</v>
      </c>
      <c r="I61" s="23" t="s">
        <v>16</v>
      </c>
      <c r="J61" s="23" t="s">
        <v>17</v>
      </c>
      <c r="K61" s="23" t="s">
        <v>64</v>
      </c>
      <c r="L61" s="43">
        <v>36.717199999999998</v>
      </c>
      <c r="M61" s="43">
        <v>73.529300000000006</v>
      </c>
      <c r="N61" s="43"/>
      <c r="O61" s="2"/>
      <c r="P61" s="3"/>
    </row>
    <row r="62" spans="1:16" x14ac:dyDescent="0.3">
      <c r="A62" s="11" t="s">
        <v>65</v>
      </c>
      <c r="B62" s="23" t="s">
        <v>66</v>
      </c>
      <c r="C62" s="49" t="s">
        <v>12</v>
      </c>
      <c r="D62" s="42" t="s">
        <v>211</v>
      </c>
      <c r="E62" s="23" t="s">
        <v>13</v>
      </c>
      <c r="F62" s="23" t="s">
        <v>25</v>
      </c>
      <c r="G62" s="47">
        <v>39374</v>
      </c>
      <c r="H62" s="23" t="s">
        <v>26</v>
      </c>
      <c r="I62" s="23" t="s">
        <v>16</v>
      </c>
      <c r="J62" s="23" t="s">
        <v>27</v>
      </c>
      <c r="K62" s="23" t="s">
        <v>67</v>
      </c>
      <c r="L62" s="43">
        <v>48.1539</v>
      </c>
      <c r="M62" s="43">
        <v>40.992699999999999</v>
      </c>
      <c r="N62" s="43"/>
      <c r="O62" s="2"/>
      <c r="P62" s="3"/>
    </row>
    <row r="63" spans="1:16" x14ac:dyDescent="0.3">
      <c r="A63" s="11" t="s">
        <v>70</v>
      </c>
      <c r="B63" s="23" t="s">
        <v>70</v>
      </c>
      <c r="C63" s="49" t="s">
        <v>71</v>
      </c>
      <c r="D63" s="42" t="s">
        <v>210</v>
      </c>
      <c r="E63" s="23" t="s">
        <v>21</v>
      </c>
      <c r="F63" s="23" t="s">
        <v>243</v>
      </c>
      <c r="G63" s="47">
        <v>43050</v>
      </c>
      <c r="H63" s="23" t="s">
        <v>72</v>
      </c>
      <c r="I63" s="23" t="s">
        <v>73</v>
      </c>
      <c r="J63" s="23" t="s">
        <v>27</v>
      </c>
      <c r="K63" s="23" t="s">
        <v>74</v>
      </c>
      <c r="L63" s="43">
        <v>33.363700000000001</v>
      </c>
      <c r="M63" s="43">
        <v>137.90899999999999</v>
      </c>
      <c r="N63" s="43"/>
    </row>
    <row r="64" spans="1:16" x14ac:dyDescent="0.3">
      <c r="A64" s="11" t="s">
        <v>75</v>
      </c>
      <c r="B64" s="23" t="s">
        <v>75</v>
      </c>
      <c r="C64" s="49" t="s">
        <v>71</v>
      </c>
      <c r="D64" s="42" t="s">
        <v>210</v>
      </c>
      <c r="E64" s="23" t="s">
        <v>21</v>
      </c>
      <c r="F64" s="23" t="s">
        <v>243</v>
      </c>
      <c r="G64" s="47">
        <v>43050</v>
      </c>
      <c r="H64" s="23" t="s">
        <v>72</v>
      </c>
      <c r="I64" s="23" t="s">
        <v>73</v>
      </c>
      <c r="J64" s="23" t="s">
        <v>27</v>
      </c>
      <c r="K64" s="23" t="s">
        <v>76</v>
      </c>
      <c r="L64" s="43">
        <v>29.323</v>
      </c>
      <c r="M64" s="43">
        <v>167.57599999999999</v>
      </c>
      <c r="N64" s="43"/>
    </row>
    <row r="65" spans="1:16" x14ac:dyDescent="0.3">
      <c r="A65" s="11" t="s">
        <v>77</v>
      </c>
      <c r="B65" s="23" t="s">
        <v>77</v>
      </c>
      <c r="C65" s="49" t="s">
        <v>71</v>
      </c>
      <c r="D65" s="42" t="s">
        <v>210</v>
      </c>
      <c r="E65" s="23" t="s">
        <v>21</v>
      </c>
      <c r="F65" s="23" t="s">
        <v>243</v>
      </c>
      <c r="G65" s="47">
        <v>43050</v>
      </c>
      <c r="H65" s="23" t="s">
        <v>72</v>
      </c>
      <c r="I65" s="23" t="s">
        <v>73</v>
      </c>
      <c r="J65" s="23" t="s">
        <v>27</v>
      </c>
      <c r="K65" s="23" t="s">
        <v>78</v>
      </c>
      <c r="L65" s="43">
        <v>35.326500000000003</v>
      </c>
      <c r="M65" s="43">
        <v>53.0321</v>
      </c>
      <c r="N65" s="43"/>
      <c r="O65" s="2"/>
      <c r="P65" s="3"/>
    </row>
    <row r="66" spans="1:16" x14ac:dyDescent="0.3">
      <c r="A66" s="11" t="s">
        <v>79</v>
      </c>
      <c r="B66" s="23" t="s">
        <v>79</v>
      </c>
      <c r="C66" s="49" t="s">
        <v>71</v>
      </c>
      <c r="D66" s="42" t="s">
        <v>210</v>
      </c>
      <c r="E66" s="23" t="s">
        <v>13</v>
      </c>
      <c r="F66" s="23" t="s">
        <v>243</v>
      </c>
      <c r="G66" s="47">
        <v>43050</v>
      </c>
      <c r="H66" s="23" t="s">
        <v>72</v>
      </c>
      <c r="I66" s="23" t="s">
        <v>73</v>
      </c>
      <c r="J66" s="23" t="s">
        <v>27</v>
      </c>
      <c r="K66" s="23" t="s">
        <v>80</v>
      </c>
      <c r="L66" s="43">
        <v>27.427499999999998</v>
      </c>
      <c r="M66" s="43">
        <v>39.458199999999998</v>
      </c>
      <c r="N66" s="43"/>
      <c r="O66" s="2"/>
      <c r="P66" s="3"/>
    </row>
    <row r="67" spans="1:16" x14ac:dyDescent="0.3">
      <c r="A67" s="11" t="s">
        <v>81</v>
      </c>
      <c r="B67" s="23" t="s">
        <v>81</v>
      </c>
      <c r="C67" s="49" t="s">
        <v>71</v>
      </c>
      <c r="D67" s="42" t="s">
        <v>210</v>
      </c>
      <c r="E67" s="23" t="s">
        <v>13</v>
      </c>
      <c r="F67" s="23" t="s">
        <v>243</v>
      </c>
      <c r="G67" s="47">
        <v>43050</v>
      </c>
      <c r="H67" s="23" t="s">
        <v>72</v>
      </c>
      <c r="I67" s="23" t="s">
        <v>73</v>
      </c>
      <c r="J67" s="23" t="s">
        <v>27</v>
      </c>
      <c r="K67" s="23" t="s">
        <v>82</v>
      </c>
      <c r="L67" s="43">
        <v>33.189399999999999</v>
      </c>
      <c r="M67" s="43">
        <v>103.652</v>
      </c>
      <c r="N67" s="43"/>
      <c r="O67" s="2"/>
      <c r="P67" s="3"/>
    </row>
    <row r="68" spans="1:16" x14ac:dyDescent="0.3">
      <c r="A68" s="11" t="s">
        <v>83</v>
      </c>
      <c r="B68" s="23" t="s">
        <v>83</v>
      </c>
      <c r="C68" s="49" t="s">
        <v>71</v>
      </c>
      <c r="D68" s="42" t="s">
        <v>210</v>
      </c>
      <c r="E68" s="23" t="s">
        <v>13</v>
      </c>
      <c r="F68" s="23" t="s">
        <v>243</v>
      </c>
      <c r="G68" s="47">
        <v>43051</v>
      </c>
      <c r="H68" s="23" t="s">
        <v>72</v>
      </c>
      <c r="I68" s="23" t="s">
        <v>73</v>
      </c>
      <c r="J68" s="23" t="s">
        <v>27</v>
      </c>
      <c r="K68" s="23" t="s">
        <v>84</v>
      </c>
      <c r="L68" s="43">
        <v>27.509499999999999</v>
      </c>
      <c r="M68" s="43">
        <v>55.9756</v>
      </c>
      <c r="N68" s="43"/>
      <c r="O68" s="2"/>
      <c r="P68" s="3"/>
    </row>
    <row r="69" spans="1:16" x14ac:dyDescent="0.3">
      <c r="A69" s="11" t="s">
        <v>85</v>
      </c>
      <c r="B69" s="23" t="s">
        <v>85</v>
      </c>
      <c r="C69" s="49" t="s">
        <v>71</v>
      </c>
      <c r="D69" s="42" t="s">
        <v>210</v>
      </c>
      <c r="E69" s="23" t="s">
        <v>13</v>
      </c>
      <c r="F69" s="23" t="s">
        <v>243</v>
      </c>
      <c r="G69" s="47">
        <v>43051</v>
      </c>
      <c r="H69" s="23" t="s">
        <v>72</v>
      </c>
      <c r="I69" s="23" t="s">
        <v>73</v>
      </c>
      <c r="J69" s="23" t="s">
        <v>27</v>
      </c>
      <c r="K69" s="23" t="s">
        <v>86</v>
      </c>
      <c r="L69" s="43">
        <v>31.1586</v>
      </c>
      <c r="M69" s="43">
        <v>81.043700000000001</v>
      </c>
      <c r="N69" s="43"/>
      <c r="O69" s="2"/>
      <c r="P69" s="3"/>
    </row>
    <row r="70" spans="1:16" x14ac:dyDescent="0.3">
      <c r="A70" s="11" t="s">
        <v>87</v>
      </c>
      <c r="B70" s="23" t="s">
        <v>87</v>
      </c>
      <c r="C70" s="49" t="s">
        <v>71</v>
      </c>
      <c r="D70" s="42" t="s">
        <v>210</v>
      </c>
      <c r="E70" s="23" t="s">
        <v>21</v>
      </c>
      <c r="F70" s="23" t="s">
        <v>243</v>
      </c>
      <c r="G70" s="47">
        <v>43051</v>
      </c>
      <c r="H70" s="23" t="s">
        <v>72</v>
      </c>
      <c r="I70" s="23" t="s">
        <v>73</v>
      </c>
      <c r="J70" s="23" t="s">
        <v>27</v>
      </c>
      <c r="K70" s="23" t="s">
        <v>88</v>
      </c>
      <c r="L70" s="43">
        <v>26.8965</v>
      </c>
      <c r="M70" s="43">
        <v>91.043700000000001</v>
      </c>
      <c r="N70" s="43"/>
      <c r="O70" s="2"/>
      <c r="P70" s="3"/>
    </row>
    <row r="71" spans="1:16" x14ac:dyDescent="0.3">
      <c r="A71" s="11" t="s">
        <v>89</v>
      </c>
      <c r="B71" s="23" t="s">
        <v>89</v>
      </c>
      <c r="C71" s="49" t="s">
        <v>71</v>
      </c>
      <c r="D71" s="42" t="s">
        <v>210</v>
      </c>
      <c r="E71" s="23" t="s">
        <v>13</v>
      </c>
      <c r="F71" s="23" t="s">
        <v>243</v>
      </c>
      <c r="G71" s="47">
        <v>43051</v>
      </c>
      <c r="H71" s="23" t="s">
        <v>72</v>
      </c>
      <c r="I71" s="23" t="s">
        <v>73</v>
      </c>
      <c r="J71" s="23" t="s">
        <v>27</v>
      </c>
      <c r="K71" s="23" t="s">
        <v>90</v>
      </c>
      <c r="L71" s="43">
        <v>35.105899999999998</v>
      </c>
      <c r="M71" s="43">
        <v>44.879199999999997</v>
      </c>
      <c r="N71" s="43"/>
      <c r="O71" s="2"/>
      <c r="P71" s="3"/>
    </row>
    <row r="72" spans="1:16" x14ac:dyDescent="0.3">
      <c r="A72" s="11" t="s">
        <v>91</v>
      </c>
      <c r="B72" s="23" t="s">
        <v>91</v>
      </c>
      <c r="C72" s="49" t="s">
        <v>71</v>
      </c>
      <c r="D72" s="42" t="s">
        <v>210</v>
      </c>
      <c r="E72" s="23" t="s">
        <v>21</v>
      </c>
      <c r="F72" s="23" t="s">
        <v>243</v>
      </c>
      <c r="G72" s="47">
        <v>43051</v>
      </c>
      <c r="H72" s="23" t="s">
        <v>72</v>
      </c>
      <c r="I72" s="23" t="s">
        <v>73</v>
      </c>
      <c r="J72" s="23" t="s">
        <v>27</v>
      </c>
      <c r="K72" s="23" t="s">
        <v>92</v>
      </c>
      <c r="L72" s="43">
        <v>29.787099999999999</v>
      </c>
      <c r="M72" s="43">
        <v>54.802100000000003</v>
      </c>
      <c r="N72" s="43"/>
      <c r="O72" s="2"/>
      <c r="P72" s="3"/>
    </row>
    <row r="73" spans="1:16" x14ac:dyDescent="0.3">
      <c r="A73" s="11" t="s">
        <v>93</v>
      </c>
      <c r="B73" s="23" t="s">
        <v>93</v>
      </c>
      <c r="C73" s="49" t="s">
        <v>71</v>
      </c>
      <c r="D73" s="42" t="s">
        <v>210</v>
      </c>
      <c r="E73" s="23" t="s">
        <v>13</v>
      </c>
      <c r="F73" s="23" t="s">
        <v>243</v>
      </c>
      <c r="G73" s="47">
        <v>43051</v>
      </c>
      <c r="H73" s="23" t="s">
        <v>72</v>
      </c>
      <c r="I73" s="23" t="s">
        <v>73</v>
      </c>
      <c r="J73" s="23" t="s">
        <v>27</v>
      </c>
      <c r="K73" s="23" t="s">
        <v>94</v>
      </c>
      <c r="L73" s="43">
        <v>20.799600000000002</v>
      </c>
      <c r="M73" s="43">
        <v>36.699800000000003</v>
      </c>
      <c r="N73" s="43"/>
      <c r="O73" s="2"/>
      <c r="P73" s="3"/>
    </row>
    <row r="74" spans="1:16" x14ac:dyDescent="0.3">
      <c r="A74" s="11" t="s">
        <v>95</v>
      </c>
      <c r="B74" s="23" t="s">
        <v>95</v>
      </c>
      <c r="C74" s="49" t="s">
        <v>71</v>
      </c>
      <c r="D74" s="42" t="s">
        <v>210</v>
      </c>
      <c r="E74" s="23" t="s">
        <v>21</v>
      </c>
      <c r="F74" s="23" t="s">
        <v>243</v>
      </c>
      <c r="G74" s="47">
        <v>43051</v>
      </c>
      <c r="H74" s="23" t="s">
        <v>72</v>
      </c>
      <c r="I74" s="23" t="s">
        <v>73</v>
      </c>
      <c r="J74" s="23" t="s">
        <v>27</v>
      </c>
      <c r="K74" s="23" t="s">
        <v>96</v>
      </c>
      <c r="L74" s="43">
        <v>29.543299999999999</v>
      </c>
      <c r="M74" s="43">
        <v>46.5075</v>
      </c>
      <c r="N74" s="43"/>
      <c r="O74" s="2"/>
      <c r="P74" s="3"/>
    </row>
    <row r="75" spans="1:16" x14ac:dyDescent="0.3">
      <c r="A75" s="11" t="s">
        <v>97</v>
      </c>
      <c r="B75" s="23" t="s">
        <v>97</v>
      </c>
      <c r="C75" s="49" t="s">
        <v>71</v>
      </c>
      <c r="D75" s="42" t="s">
        <v>210</v>
      </c>
      <c r="E75" s="23" t="s">
        <v>13</v>
      </c>
      <c r="F75" s="23" t="s">
        <v>243</v>
      </c>
      <c r="G75" s="47">
        <v>43051</v>
      </c>
      <c r="H75" s="23" t="s">
        <v>72</v>
      </c>
      <c r="I75" s="23" t="s">
        <v>73</v>
      </c>
      <c r="J75" s="23" t="s">
        <v>27</v>
      </c>
      <c r="K75" s="23" t="s">
        <v>98</v>
      </c>
      <c r="L75" s="43">
        <v>38.979500000000002</v>
      </c>
      <c r="M75" s="43">
        <v>68.9773</v>
      </c>
      <c r="N75" s="43"/>
      <c r="O75" s="2"/>
      <c r="P75" s="3"/>
    </row>
    <row r="76" spans="1:16" x14ac:dyDescent="0.3">
      <c r="A76" s="11" t="s">
        <v>99</v>
      </c>
      <c r="B76" s="23" t="s">
        <v>99</v>
      </c>
      <c r="C76" s="49" t="s">
        <v>71</v>
      </c>
      <c r="D76" s="42" t="s">
        <v>210</v>
      </c>
      <c r="E76" s="23" t="s">
        <v>21</v>
      </c>
      <c r="F76" s="23" t="s">
        <v>243</v>
      </c>
      <c r="G76" s="47">
        <v>43051</v>
      </c>
      <c r="H76" s="23" t="s">
        <v>72</v>
      </c>
      <c r="I76" s="23" t="s">
        <v>73</v>
      </c>
      <c r="J76" s="23" t="s">
        <v>27</v>
      </c>
      <c r="K76" s="23" t="s">
        <v>100</v>
      </c>
      <c r="L76" s="43">
        <v>30.401700000000002</v>
      </c>
      <c r="M76" s="43">
        <v>118.322</v>
      </c>
      <c r="N76" s="43"/>
      <c r="O76" s="2"/>
      <c r="P76" s="3"/>
    </row>
    <row r="77" spans="1:16" x14ac:dyDescent="0.3">
      <c r="A77" s="11" t="s">
        <v>101</v>
      </c>
      <c r="B77" s="23" t="s">
        <v>101</v>
      </c>
      <c r="C77" s="49" t="s">
        <v>71</v>
      </c>
      <c r="D77" s="42" t="s">
        <v>210</v>
      </c>
      <c r="E77" s="23" t="s">
        <v>21</v>
      </c>
      <c r="F77" s="23" t="s">
        <v>243</v>
      </c>
      <c r="G77" s="47">
        <v>43051</v>
      </c>
      <c r="H77" s="23" t="s">
        <v>72</v>
      </c>
      <c r="I77" s="23" t="s">
        <v>73</v>
      </c>
      <c r="J77" s="23" t="s">
        <v>27</v>
      </c>
      <c r="K77" s="23" t="s">
        <v>102</v>
      </c>
      <c r="L77" s="43">
        <v>31.0884</v>
      </c>
      <c r="M77" s="43">
        <v>95.433400000000006</v>
      </c>
      <c r="N77" s="43"/>
      <c r="O77" s="2"/>
      <c r="P77" s="3"/>
    </row>
    <row r="78" spans="1:16" ht="15" thickBot="1" x14ac:dyDescent="0.35">
      <c r="A78" s="48" t="s">
        <v>103</v>
      </c>
      <c r="B78" s="26" t="s">
        <v>103</v>
      </c>
      <c r="C78" s="50" t="s">
        <v>71</v>
      </c>
      <c r="D78" s="44" t="s">
        <v>210</v>
      </c>
      <c r="E78" s="26" t="s">
        <v>13</v>
      </c>
      <c r="F78" s="26" t="s">
        <v>243</v>
      </c>
      <c r="G78" s="45">
        <v>43051</v>
      </c>
      <c r="H78" s="26" t="s">
        <v>72</v>
      </c>
      <c r="I78" s="26" t="s">
        <v>73</v>
      </c>
      <c r="J78" s="26" t="s">
        <v>27</v>
      </c>
      <c r="K78" s="26" t="s">
        <v>104</v>
      </c>
      <c r="L78" s="46">
        <v>37.442900000000002</v>
      </c>
      <c r="M78" s="46">
        <v>50.080500000000001</v>
      </c>
      <c r="N78" s="46"/>
      <c r="O78" s="2"/>
      <c r="P78" s="3"/>
    </row>
    <row r="79" spans="1:16" x14ac:dyDescent="0.3">
      <c r="A79" s="7"/>
      <c r="B79" s="8"/>
      <c r="C79" s="49"/>
      <c r="D79" s="8"/>
      <c r="E79" s="8"/>
      <c r="F79" s="8"/>
      <c r="G79" s="21"/>
      <c r="H79" s="8"/>
      <c r="I79" s="8"/>
      <c r="J79" s="8"/>
      <c r="K79" s="8"/>
      <c r="L79" s="18"/>
      <c r="M79" s="18"/>
      <c r="N79" s="18"/>
      <c r="O79" s="2"/>
      <c r="P79" s="3"/>
    </row>
    <row r="80" spans="1:16" x14ac:dyDescent="0.3">
      <c r="A80" s="36" t="s">
        <v>167</v>
      </c>
      <c r="B80" s="37"/>
      <c r="C80" s="51"/>
      <c r="D80" s="37"/>
      <c r="E80" s="37"/>
      <c r="F80" s="37"/>
      <c r="G80" s="38"/>
      <c r="H80" s="37"/>
      <c r="I80" s="37"/>
      <c r="J80" s="37"/>
      <c r="K80" s="37"/>
      <c r="L80" s="39"/>
      <c r="M80" s="39"/>
      <c r="N80" s="39"/>
      <c r="O80" s="2"/>
      <c r="P80" s="3"/>
    </row>
    <row r="81" spans="1:16" x14ac:dyDescent="0.3">
      <c r="A81" s="24">
        <v>19</v>
      </c>
      <c r="B81" s="23" t="s">
        <v>111</v>
      </c>
      <c r="C81" s="23" t="s">
        <v>12</v>
      </c>
      <c r="D81" s="42" t="s">
        <v>209</v>
      </c>
      <c r="E81" s="23" t="s">
        <v>21</v>
      </c>
      <c r="F81" s="23" t="s">
        <v>25</v>
      </c>
      <c r="G81" s="23">
        <v>2007</v>
      </c>
      <c r="H81" s="23" t="s">
        <v>26</v>
      </c>
      <c r="I81" s="23" t="s">
        <v>16</v>
      </c>
      <c r="J81" s="23" t="s">
        <v>27</v>
      </c>
      <c r="K81" s="23" t="s">
        <v>68</v>
      </c>
      <c r="L81" s="43">
        <v>30.477599999999999</v>
      </c>
      <c r="M81" s="43">
        <v>37.229999999999997</v>
      </c>
      <c r="N81" s="43"/>
    </row>
    <row r="82" spans="1:16" x14ac:dyDescent="0.3">
      <c r="A82" s="24">
        <v>21</v>
      </c>
      <c r="B82" s="23" t="s">
        <v>111</v>
      </c>
      <c r="C82" s="23" t="s">
        <v>12</v>
      </c>
      <c r="D82" s="42" t="s">
        <v>209</v>
      </c>
      <c r="E82" s="23" t="s">
        <v>13</v>
      </c>
      <c r="F82" s="23" t="s">
        <v>25</v>
      </c>
      <c r="G82" s="23">
        <v>2007</v>
      </c>
      <c r="H82" s="23" t="s">
        <v>26</v>
      </c>
      <c r="I82" s="23" t="s">
        <v>16</v>
      </c>
      <c r="J82" s="23" t="s">
        <v>27</v>
      </c>
      <c r="K82" s="23" t="s">
        <v>69</v>
      </c>
      <c r="L82" s="43">
        <v>30.8902</v>
      </c>
      <c r="M82" s="43">
        <v>22.9636</v>
      </c>
      <c r="N82" s="43"/>
      <c r="O82" s="4"/>
      <c r="P82" s="3"/>
    </row>
    <row r="83" spans="1:16" s="5" customFormat="1" ht="26.4" x14ac:dyDescent="0.3">
      <c r="A83" s="13">
        <v>246</v>
      </c>
      <c r="B83" s="9" t="s">
        <v>105</v>
      </c>
      <c r="C83" s="9" t="s">
        <v>71</v>
      </c>
      <c r="D83" s="42" t="s">
        <v>210</v>
      </c>
      <c r="E83" s="9" t="s">
        <v>13</v>
      </c>
      <c r="F83" s="23" t="s">
        <v>243</v>
      </c>
      <c r="G83" s="9" t="s">
        <v>168</v>
      </c>
      <c r="H83" s="9" t="s">
        <v>72</v>
      </c>
      <c r="I83" s="23" t="s">
        <v>16</v>
      </c>
      <c r="J83" s="9" t="s">
        <v>27</v>
      </c>
      <c r="K83" s="9" t="s">
        <v>106</v>
      </c>
      <c r="L83" s="20">
        <v>20.503399999999999</v>
      </c>
      <c r="M83" s="20">
        <v>15.235099999999999</v>
      </c>
      <c r="N83" s="20"/>
      <c r="P83" s="6"/>
    </row>
    <row r="84" spans="1:16" ht="15" thickBot="1" x14ac:dyDescent="0.35">
      <c r="A84" s="27">
        <v>95694</v>
      </c>
      <c r="B84" s="26" t="s">
        <v>107</v>
      </c>
      <c r="C84" s="26" t="s">
        <v>71</v>
      </c>
      <c r="D84" s="44" t="s">
        <v>210</v>
      </c>
      <c r="E84" s="26" t="s">
        <v>21</v>
      </c>
      <c r="F84" s="26" t="s">
        <v>243</v>
      </c>
      <c r="G84" s="45">
        <v>42320</v>
      </c>
      <c r="H84" s="26" t="s">
        <v>72</v>
      </c>
      <c r="I84" s="26" t="s">
        <v>16</v>
      </c>
      <c r="J84" s="26" t="s">
        <v>27</v>
      </c>
      <c r="K84" s="26" t="s">
        <v>108</v>
      </c>
      <c r="L84" s="46">
        <v>23.729399999999998</v>
      </c>
      <c r="M84" s="46">
        <v>27.363600000000002</v>
      </c>
      <c r="N84" s="46"/>
    </row>
    <row r="85" spans="1:16" x14ac:dyDescent="0.3">
      <c r="A85" s="12"/>
      <c r="B85" s="8"/>
      <c r="C85" s="8"/>
      <c r="D85" s="8"/>
      <c r="E85" s="8"/>
      <c r="F85" s="8"/>
      <c r="G85" s="21"/>
      <c r="H85" s="8"/>
      <c r="I85" s="8"/>
      <c r="J85" s="8"/>
      <c r="K85" s="8"/>
      <c r="L85" s="18"/>
      <c r="M85" s="18"/>
      <c r="N85" s="18"/>
    </row>
    <row r="86" spans="1:16" x14ac:dyDescent="0.3">
      <c r="A86" s="35" t="s">
        <v>189</v>
      </c>
    </row>
    <row r="87" spans="1:16" x14ac:dyDescent="0.3">
      <c r="A87" s="16" t="s">
        <v>169</v>
      </c>
    </row>
  </sheetData>
  <sortState xmlns:xlrd2="http://schemas.microsoft.com/office/spreadsheetml/2017/richdata2" ref="O47:Q64">
    <sortCondition ref="O47:O6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E267-A763-47C6-AC5C-CEE341A27169}">
  <dimension ref="A1:M25"/>
  <sheetViews>
    <sheetView workbookViewId="0">
      <selection activeCell="C12" sqref="C12"/>
    </sheetView>
  </sheetViews>
  <sheetFormatPr defaultColWidth="8.77734375" defaultRowHeight="14.4" x14ac:dyDescent="0.3"/>
  <cols>
    <col min="1" max="1" width="15" customWidth="1"/>
    <col min="2" max="6" width="15" style="10" customWidth="1"/>
    <col min="7" max="7" width="26.6640625" style="10" customWidth="1"/>
    <col min="8" max="8" width="27.77734375" style="10" customWidth="1"/>
    <col min="9" max="13" width="8.77734375" style="10"/>
  </cols>
  <sheetData>
    <row r="1" spans="1:13" x14ac:dyDescent="0.3">
      <c r="A1" s="7" t="s">
        <v>181</v>
      </c>
      <c r="B1"/>
      <c r="C1"/>
      <c r="D1"/>
      <c r="E1"/>
      <c r="F1"/>
      <c r="G1"/>
      <c r="H1"/>
      <c r="I1"/>
      <c r="J1"/>
      <c r="K1"/>
      <c r="L1"/>
      <c r="M1"/>
    </row>
    <row r="2" spans="1:13" x14ac:dyDescent="0.3">
      <c r="B2"/>
      <c r="C2"/>
      <c r="D2"/>
      <c r="E2"/>
      <c r="F2"/>
      <c r="G2"/>
      <c r="H2"/>
      <c r="I2"/>
      <c r="J2"/>
      <c r="K2"/>
      <c r="L2"/>
      <c r="M2"/>
    </row>
    <row r="3" spans="1:13" ht="40.200000000000003" thickBot="1" x14ac:dyDescent="0.35">
      <c r="A3" s="29" t="s">
        <v>109</v>
      </c>
      <c r="B3" s="29" t="s">
        <v>112</v>
      </c>
      <c r="C3" s="29" t="s">
        <v>182</v>
      </c>
      <c r="D3" s="29" t="s">
        <v>113</v>
      </c>
      <c r="E3" s="29" t="s">
        <v>165</v>
      </c>
      <c r="F3" s="29" t="s">
        <v>166</v>
      </c>
      <c r="G3" s="29" t="s">
        <v>114</v>
      </c>
      <c r="H3" s="29" t="s">
        <v>115</v>
      </c>
      <c r="I3" s="9"/>
      <c r="J3" s="9"/>
      <c r="K3" s="9"/>
      <c r="L3" s="9"/>
      <c r="M3" s="9"/>
    </row>
    <row r="4" spans="1:13" ht="26.4" x14ac:dyDescent="0.3">
      <c r="A4" s="22" t="s">
        <v>117</v>
      </c>
      <c r="B4" s="23" t="s">
        <v>118</v>
      </c>
      <c r="C4" s="23">
        <v>32.299999999999997</v>
      </c>
      <c r="D4" s="23" t="s">
        <v>119</v>
      </c>
      <c r="E4" s="23" t="s">
        <v>111</v>
      </c>
      <c r="F4" s="23" t="s">
        <v>111</v>
      </c>
      <c r="G4" s="24" t="s">
        <v>120</v>
      </c>
      <c r="H4" s="14" t="s">
        <v>121</v>
      </c>
      <c r="I4" s="7"/>
      <c r="J4" s="7"/>
      <c r="K4" s="7"/>
      <c r="L4" s="7"/>
      <c r="M4" s="7"/>
    </row>
    <row r="5" spans="1:13" ht="26.4" x14ac:dyDescent="0.3">
      <c r="A5" s="22" t="s">
        <v>122</v>
      </c>
      <c r="B5" s="23" t="s">
        <v>123</v>
      </c>
      <c r="C5" s="23">
        <v>26</v>
      </c>
      <c r="D5" s="23" t="s">
        <v>124</v>
      </c>
      <c r="E5" s="23" t="s">
        <v>125</v>
      </c>
      <c r="F5" s="23" t="s">
        <v>126</v>
      </c>
      <c r="G5" s="24" t="s">
        <v>127</v>
      </c>
      <c r="H5" s="14" t="s">
        <v>128</v>
      </c>
      <c r="I5" s="7"/>
      <c r="J5" s="7"/>
      <c r="K5" s="7"/>
      <c r="L5" s="7"/>
      <c r="M5" s="7"/>
    </row>
    <row r="6" spans="1:13" ht="26.4" x14ac:dyDescent="0.3">
      <c r="A6" s="22" t="s">
        <v>129</v>
      </c>
      <c r="B6" s="23">
        <v>78.099999999999994</v>
      </c>
      <c r="C6" s="23">
        <v>23.1</v>
      </c>
      <c r="D6" s="23" t="s">
        <v>130</v>
      </c>
      <c r="E6" s="23" t="s">
        <v>131</v>
      </c>
      <c r="F6" s="23" t="s">
        <v>132</v>
      </c>
      <c r="G6" s="24" t="s">
        <v>133</v>
      </c>
      <c r="H6" s="14" t="s">
        <v>128</v>
      </c>
      <c r="I6" s="7"/>
      <c r="J6" s="7"/>
      <c r="K6" s="7"/>
      <c r="L6" s="7"/>
      <c r="M6" s="7"/>
    </row>
    <row r="7" spans="1:13" ht="26.4" x14ac:dyDescent="0.3">
      <c r="A7" s="22" t="s">
        <v>134</v>
      </c>
      <c r="B7" s="23" t="s">
        <v>135</v>
      </c>
      <c r="C7" s="23">
        <v>13.5</v>
      </c>
      <c r="D7" s="23" t="s">
        <v>136</v>
      </c>
      <c r="E7" s="23" t="s">
        <v>137</v>
      </c>
      <c r="F7" s="23" t="s">
        <v>138</v>
      </c>
      <c r="G7" s="13" t="s">
        <v>139</v>
      </c>
      <c r="H7" s="14" t="s">
        <v>140</v>
      </c>
      <c r="I7" s="7"/>
      <c r="J7" s="7"/>
      <c r="K7" s="7"/>
      <c r="L7" s="7"/>
      <c r="M7" s="7"/>
    </row>
    <row r="8" spans="1:13" ht="52.8" x14ac:dyDescent="0.3">
      <c r="A8" s="22" t="s">
        <v>110</v>
      </c>
      <c r="B8" s="23" t="s">
        <v>141</v>
      </c>
      <c r="C8" s="23">
        <v>7.75</v>
      </c>
      <c r="D8" s="23" t="s">
        <v>142</v>
      </c>
      <c r="E8" s="23" t="s">
        <v>143</v>
      </c>
      <c r="F8" s="23" t="s">
        <v>144</v>
      </c>
      <c r="G8" s="24" t="s">
        <v>145</v>
      </c>
      <c r="H8" s="14" t="s">
        <v>146</v>
      </c>
      <c r="I8" s="7"/>
      <c r="J8" s="7"/>
      <c r="K8" s="7"/>
      <c r="L8" s="7"/>
      <c r="M8" s="7"/>
    </row>
    <row r="9" spans="1:13" ht="52.8" x14ac:dyDescent="0.3">
      <c r="A9" s="22" t="s">
        <v>147</v>
      </c>
      <c r="B9" s="23" t="s">
        <v>141</v>
      </c>
      <c r="C9" s="23">
        <v>7.75</v>
      </c>
      <c r="D9" s="23" t="s">
        <v>142</v>
      </c>
      <c r="E9" s="23" t="s">
        <v>143</v>
      </c>
      <c r="F9" s="23" t="s">
        <v>144</v>
      </c>
      <c r="G9" s="24" t="s">
        <v>145</v>
      </c>
      <c r="H9" s="14" t="s">
        <v>148</v>
      </c>
      <c r="I9" s="7"/>
      <c r="J9" s="7"/>
      <c r="K9" s="7"/>
      <c r="L9" s="7"/>
      <c r="M9" s="7"/>
    </row>
    <row r="10" spans="1:13" ht="39.6" x14ac:dyDescent="0.3">
      <c r="A10" s="22" t="s">
        <v>149</v>
      </c>
      <c r="B10" s="23" t="s">
        <v>150</v>
      </c>
      <c r="C10" s="23">
        <v>7</v>
      </c>
      <c r="D10" s="23" t="s">
        <v>151</v>
      </c>
      <c r="E10" s="23" t="s">
        <v>152</v>
      </c>
      <c r="F10" s="23" t="s">
        <v>153</v>
      </c>
      <c r="G10" s="24" t="s">
        <v>154</v>
      </c>
      <c r="H10" s="14" t="s">
        <v>155</v>
      </c>
      <c r="I10" s="7"/>
      <c r="J10" s="7"/>
      <c r="K10" s="7"/>
      <c r="L10" s="7"/>
      <c r="M10" s="7"/>
    </row>
    <row r="11" spans="1:13" ht="39.6" x14ac:dyDescent="0.3">
      <c r="A11" s="22" t="s">
        <v>156</v>
      </c>
      <c r="B11" s="23" t="s">
        <v>157</v>
      </c>
      <c r="C11" s="23">
        <v>3.71</v>
      </c>
      <c r="D11" s="23" t="s">
        <v>158</v>
      </c>
      <c r="E11" s="23" t="s">
        <v>111</v>
      </c>
      <c r="F11" s="23" t="s">
        <v>111</v>
      </c>
      <c r="G11" s="24" t="s">
        <v>159</v>
      </c>
      <c r="H11" s="14" t="s">
        <v>160</v>
      </c>
      <c r="I11" s="7"/>
      <c r="J11" s="7"/>
      <c r="K11" s="7"/>
      <c r="L11" s="7"/>
      <c r="M11" s="7"/>
    </row>
    <row r="12" spans="1:13" ht="27" thickBot="1" x14ac:dyDescent="0.35">
      <c r="A12" s="25" t="s">
        <v>161</v>
      </c>
      <c r="B12" s="26" t="s">
        <v>300</v>
      </c>
      <c r="C12" s="26">
        <v>2.2999999999999998</v>
      </c>
      <c r="D12" s="26" t="s">
        <v>162</v>
      </c>
      <c r="E12" s="26" t="s">
        <v>111</v>
      </c>
      <c r="F12" s="26" t="s">
        <v>111</v>
      </c>
      <c r="G12" s="27" t="s">
        <v>163</v>
      </c>
      <c r="H12" s="28" t="s">
        <v>164</v>
      </c>
      <c r="I12" s="7"/>
      <c r="J12" s="7"/>
      <c r="K12" s="7"/>
      <c r="L12" s="7"/>
      <c r="M12" s="7"/>
    </row>
    <row r="14" spans="1:13" x14ac:dyDescent="0.3">
      <c r="A14" s="16" t="s">
        <v>172</v>
      </c>
    </row>
    <row r="15" spans="1:13" x14ac:dyDescent="0.3">
      <c r="A15" s="16" t="s">
        <v>170</v>
      </c>
    </row>
    <row r="16" spans="1:13" x14ac:dyDescent="0.3">
      <c r="A16" s="16" t="s">
        <v>171</v>
      </c>
    </row>
    <row r="17" spans="1:1" x14ac:dyDescent="0.3">
      <c r="A17" s="16" t="s">
        <v>175</v>
      </c>
    </row>
    <row r="18" spans="1:1" x14ac:dyDescent="0.3">
      <c r="A18" s="16" t="s">
        <v>178</v>
      </c>
    </row>
    <row r="19" spans="1:1" x14ac:dyDescent="0.3">
      <c r="A19" s="16" t="s">
        <v>169</v>
      </c>
    </row>
    <row r="20" spans="1:1" x14ac:dyDescent="0.3">
      <c r="A20" s="16" t="s">
        <v>179</v>
      </c>
    </row>
    <row r="21" spans="1:1" x14ac:dyDescent="0.3">
      <c r="A21" s="16" t="s">
        <v>180</v>
      </c>
    </row>
    <row r="22" spans="1:1" x14ac:dyDescent="0.3">
      <c r="A22" s="16" t="s">
        <v>173</v>
      </c>
    </row>
    <row r="23" spans="1:1" x14ac:dyDescent="0.3">
      <c r="A23" s="16" t="s">
        <v>174</v>
      </c>
    </row>
    <row r="24" spans="1:1" x14ac:dyDescent="0.3">
      <c r="A24" s="16" t="s">
        <v>177</v>
      </c>
    </row>
    <row r="25" spans="1:1" x14ac:dyDescent="0.3">
      <c r="A25" s="16" t="s">
        <v>176</v>
      </c>
    </row>
  </sheetData>
  <pageMargins left="0.7" right="0.7" top="0.75" bottom="0.75" header="0.3" footer="0.3"/>
  <ignoredErrors>
    <ignoredError sqref="D4:G5 D7:G12 D6:F6 B7:B11 B4:B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84C2-53C6-4500-8178-2DB0E678A4A8}">
  <dimension ref="A1:R24"/>
  <sheetViews>
    <sheetView workbookViewId="0">
      <selection activeCell="C17" sqref="C17"/>
    </sheetView>
  </sheetViews>
  <sheetFormatPr defaultColWidth="8.77734375" defaultRowHeight="14.4" x14ac:dyDescent="0.3"/>
  <cols>
    <col min="1" max="1" width="26.6640625" customWidth="1"/>
    <col min="2" max="7" width="13.88671875" customWidth="1"/>
    <col min="10" max="10" width="10" bestFit="1" customWidth="1"/>
    <col min="11" max="11" width="9" bestFit="1" customWidth="1"/>
    <col min="17" max="17" width="10" bestFit="1" customWidth="1"/>
    <col min="21" max="21" width="11" bestFit="1" customWidth="1"/>
  </cols>
  <sheetData>
    <row r="1" spans="1:18" x14ac:dyDescent="0.3">
      <c r="A1" s="7" t="s">
        <v>294</v>
      </c>
      <c r="B1" s="7"/>
      <c r="C1" s="7"/>
      <c r="D1" s="7"/>
      <c r="E1" s="7"/>
      <c r="F1" s="7"/>
      <c r="G1" s="7"/>
    </row>
    <row r="3" spans="1:18" s="68" customFormat="1" ht="53.4" thickBot="1" x14ac:dyDescent="0.35">
      <c r="A3" s="17" t="s">
        <v>281</v>
      </c>
      <c r="B3" s="29" t="s">
        <v>292</v>
      </c>
      <c r="C3" s="29" t="s">
        <v>293</v>
      </c>
      <c r="D3" s="29" t="s">
        <v>295</v>
      </c>
      <c r="E3" s="29" t="s">
        <v>296</v>
      </c>
      <c r="F3" s="29" t="s">
        <v>297</v>
      </c>
      <c r="G3" s="29" t="s">
        <v>299</v>
      </c>
    </row>
    <row r="4" spans="1:18" x14ac:dyDescent="0.3">
      <c r="A4" s="30" t="s">
        <v>116</v>
      </c>
      <c r="B4" s="69">
        <v>1</v>
      </c>
      <c r="C4" s="69">
        <v>1</v>
      </c>
      <c r="D4" s="69">
        <v>1</v>
      </c>
      <c r="E4" s="69">
        <v>1</v>
      </c>
      <c r="F4" s="69">
        <v>1</v>
      </c>
      <c r="G4" s="69">
        <v>0</v>
      </c>
    </row>
    <row r="5" spans="1:18" x14ac:dyDescent="0.3">
      <c r="A5" s="30"/>
      <c r="B5" s="76"/>
      <c r="C5" s="69"/>
      <c r="D5" s="69"/>
      <c r="E5" s="69"/>
      <c r="F5" s="69"/>
      <c r="G5" s="69"/>
    </row>
    <row r="6" spans="1:18" x14ac:dyDescent="0.3">
      <c r="A6" s="30" t="s">
        <v>290</v>
      </c>
      <c r="B6" s="69">
        <v>0.85792656320874705</v>
      </c>
      <c r="C6" s="69">
        <v>0.88504027634506621</v>
      </c>
      <c r="D6" s="69">
        <v>0.87895339979193321</v>
      </c>
      <c r="E6" s="69">
        <v>0.87981883253632953</v>
      </c>
      <c r="F6" s="69">
        <v>0.88724685272085402</v>
      </c>
      <c r="G6" s="69">
        <f t="shared" ref="G6" si="0">C6-F6</f>
        <v>-2.2065763757878054E-3</v>
      </c>
    </row>
    <row r="7" spans="1:18" x14ac:dyDescent="0.3">
      <c r="A7" s="30"/>
      <c r="B7" s="69"/>
      <c r="C7" s="69"/>
      <c r="D7" s="69"/>
      <c r="E7" s="69"/>
      <c r="F7" s="69"/>
      <c r="G7" s="69"/>
    </row>
    <row r="8" spans="1:18" x14ac:dyDescent="0.3">
      <c r="A8" s="30" t="s">
        <v>289</v>
      </c>
      <c r="B8" s="69" t="s">
        <v>111</v>
      </c>
      <c r="C8" s="69">
        <v>0.76491093264547205</v>
      </c>
      <c r="D8" s="69">
        <v>0.83262155766135515</v>
      </c>
      <c r="E8" s="69">
        <v>0.85233436702560994</v>
      </c>
      <c r="F8" s="69">
        <v>0.88094897644407022</v>
      </c>
      <c r="G8" s="69">
        <f>C8-F8</f>
        <v>-0.11603804379859817</v>
      </c>
    </row>
    <row r="9" spans="1:18" x14ac:dyDescent="0.3">
      <c r="A9" s="12" t="s">
        <v>287</v>
      </c>
      <c r="B9" s="70" t="s">
        <v>111</v>
      </c>
      <c r="C9" s="70">
        <v>0.15330479777622166</v>
      </c>
      <c r="D9" s="70">
        <v>0.39785074576325763</v>
      </c>
      <c r="E9" s="70">
        <v>0.39850325368750361</v>
      </c>
      <c r="F9" s="70">
        <v>0.15314395035057213</v>
      </c>
      <c r="G9" s="70">
        <f t="shared" ref="G9:G18" si="1">C9-F9</f>
        <v>1.6084742564953514E-4</v>
      </c>
    </row>
    <row r="10" spans="1:18" x14ac:dyDescent="0.3">
      <c r="A10" s="73" t="s">
        <v>282</v>
      </c>
      <c r="B10" s="69" t="s">
        <v>111</v>
      </c>
      <c r="C10" s="69">
        <v>0.61160613486925042</v>
      </c>
      <c r="D10" s="69">
        <v>0.43477081189809758</v>
      </c>
      <c r="E10" s="69">
        <v>0.45383111333810633</v>
      </c>
      <c r="F10" s="69">
        <v>0.72780502609349806</v>
      </c>
      <c r="G10" s="69">
        <f t="shared" si="1"/>
        <v>-0.11619889122424765</v>
      </c>
    </row>
    <row r="11" spans="1:18" x14ac:dyDescent="0.3">
      <c r="A11" s="12" t="s">
        <v>283</v>
      </c>
      <c r="B11" s="70" t="s">
        <v>111</v>
      </c>
      <c r="C11" s="70">
        <v>0.29618425832875744</v>
      </c>
      <c r="D11" s="70">
        <v>0.28881318441130532</v>
      </c>
      <c r="E11" s="70">
        <v>0.29094384213270691</v>
      </c>
      <c r="F11" s="70">
        <v>0.29802070891582955</v>
      </c>
      <c r="G11" s="70">
        <f t="shared" si="1"/>
        <v>-1.8364505870721026E-3</v>
      </c>
    </row>
    <row r="12" spans="1:18" x14ac:dyDescent="0.3">
      <c r="A12" s="12" t="s">
        <v>284</v>
      </c>
      <c r="B12" s="70" t="s">
        <v>111</v>
      </c>
      <c r="C12" s="70">
        <v>0.31542187654049297</v>
      </c>
      <c r="D12" s="70">
        <v>0.14595762748679225</v>
      </c>
      <c r="E12" s="70">
        <v>0.16288727120539948</v>
      </c>
      <c r="F12" s="70">
        <v>0.42978431717766852</v>
      </c>
      <c r="G12" s="70">
        <f t="shared" si="1"/>
        <v>-0.11436244063717554</v>
      </c>
    </row>
    <row r="13" spans="1:18" ht="26.4" x14ac:dyDescent="0.3">
      <c r="A13" s="74" t="s">
        <v>285</v>
      </c>
      <c r="B13" s="70" t="s">
        <v>111</v>
      </c>
      <c r="C13" s="70">
        <v>2.0624394530124775E-2</v>
      </c>
      <c r="D13" s="70">
        <v>1.8793361655231065E-2</v>
      </c>
      <c r="E13" s="70">
        <v>2.693447833028223E-2</v>
      </c>
      <c r="F13" s="70">
        <v>2.981522100540231E-2</v>
      </c>
      <c r="G13" s="70">
        <f t="shared" si="1"/>
        <v>-9.1908264752775352E-3</v>
      </c>
    </row>
    <row r="14" spans="1:18" x14ac:dyDescent="0.3">
      <c r="A14" s="7"/>
      <c r="B14" s="23"/>
      <c r="C14" s="23"/>
      <c r="D14" s="23"/>
      <c r="E14" s="23"/>
      <c r="F14" s="23"/>
      <c r="G14" s="70"/>
    </row>
    <row r="15" spans="1:18" x14ac:dyDescent="0.3">
      <c r="A15" s="30" t="s">
        <v>288</v>
      </c>
      <c r="B15" s="69">
        <v>0.14207343679125292</v>
      </c>
      <c r="C15" s="69">
        <v>0.23508906735452789</v>
      </c>
      <c r="D15" s="69">
        <v>0.16737844233864482</v>
      </c>
      <c r="E15" s="69">
        <v>0.14766563297439</v>
      </c>
      <c r="F15" s="69">
        <v>0.11905102355592982</v>
      </c>
      <c r="G15" s="69">
        <f t="shared" si="1"/>
        <v>0.11603804379859807</v>
      </c>
    </row>
    <row r="16" spans="1:18" x14ac:dyDescent="0.3">
      <c r="A16" s="12" t="s">
        <v>286</v>
      </c>
      <c r="B16" s="70">
        <v>6.641549802051179E-2</v>
      </c>
      <c r="C16" s="70">
        <v>7.4849057466101335E-2</v>
      </c>
      <c r="D16" s="70">
        <v>7.4849057466101335E-2</v>
      </c>
      <c r="E16" s="70">
        <v>7.4849057466101335E-2</v>
      </c>
      <c r="F16" s="70">
        <v>7.4849057466101335E-2</v>
      </c>
      <c r="G16" s="70">
        <f t="shared" si="1"/>
        <v>0</v>
      </c>
      <c r="R16" s="71"/>
    </row>
    <row r="17" spans="1:18" ht="26.4" x14ac:dyDescent="0.3">
      <c r="A17" s="75" t="s">
        <v>291</v>
      </c>
      <c r="B17" s="69" t="s">
        <v>111</v>
      </c>
      <c r="C17" s="69">
        <v>0.12012934369959408</v>
      </c>
      <c r="D17" s="69">
        <v>4.6331842130578053E-2</v>
      </c>
      <c r="E17" s="69">
        <v>2.7484465510719536E-2</v>
      </c>
      <c r="F17" s="69">
        <v>6.2978762767838719E-3</v>
      </c>
      <c r="G17" s="69">
        <f>C17-F17</f>
        <v>0.11383146742281021</v>
      </c>
    </row>
    <row r="18" spans="1:18" ht="27" thickBot="1" x14ac:dyDescent="0.35">
      <c r="A18" s="77" t="s">
        <v>298</v>
      </c>
      <c r="B18" s="72">
        <v>7.5657938770741132E-2</v>
      </c>
      <c r="C18" s="72">
        <v>4.0110666188832494E-2</v>
      </c>
      <c r="D18" s="72">
        <v>4.6197542741965435E-2</v>
      </c>
      <c r="E18" s="72">
        <v>4.5332109997569134E-2</v>
      </c>
      <c r="F18" s="72">
        <v>3.7904089813044613E-2</v>
      </c>
      <c r="G18" s="72">
        <f t="shared" si="1"/>
        <v>2.2065763757878817E-3</v>
      </c>
    </row>
    <row r="21" spans="1:18" x14ac:dyDescent="0.3">
      <c r="R21" s="71"/>
    </row>
    <row r="23" spans="1:18" x14ac:dyDescent="0.3">
      <c r="B23" s="71"/>
      <c r="C23" s="71"/>
      <c r="D23" s="71"/>
      <c r="E23" s="71"/>
      <c r="F23" s="71"/>
      <c r="G23" s="71"/>
      <c r="I23" s="71"/>
    </row>
    <row r="24" spans="1:18" x14ac:dyDescent="0.3">
      <c r="C24" s="71"/>
      <c r="D24" s="71"/>
      <c r="E24" s="71"/>
      <c r="F24" s="71"/>
      <c r="G24" s="71"/>
      <c r="J24" s="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3CB3-2826-4062-BBF7-BAC9BA26EA77}">
  <dimension ref="A1:M43"/>
  <sheetViews>
    <sheetView workbookViewId="0">
      <selection activeCell="C7" sqref="C7"/>
    </sheetView>
  </sheetViews>
  <sheetFormatPr defaultRowHeight="13.2" x14ac:dyDescent="0.25"/>
  <cols>
    <col min="1" max="2" width="21.44140625" style="94" customWidth="1"/>
    <col min="3" max="11" width="13.33203125" style="94" customWidth="1"/>
    <col min="12" max="16384" width="8.88671875" style="94"/>
  </cols>
  <sheetData>
    <row r="1" spans="1:13" x14ac:dyDescent="0.25">
      <c r="A1" s="94" t="s">
        <v>460</v>
      </c>
    </row>
    <row r="3" spans="1:13" x14ac:dyDescent="0.25">
      <c r="A3" s="94" t="s">
        <v>302</v>
      </c>
    </row>
    <row r="4" spans="1:13" ht="15" customHeight="1" x14ac:dyDescent="0.25">
      <c r="A4" s="129" t="s">
        <v>344</v>
      </c>
      <c r="B4" s="129" t="s">
        <v>345</v>
      </c>
      <c r="C4" s="131" t="s">
        <v>351</v>
      </c>
      <c r="D4" s="131"/>
      <c r="E4" s="131"/>
      <c r="F4" s="131" t="s">
        <v>352</v>
      </c>
      <c r="G4" s="131"/>
      <c r="H4" s="131"/>
      <c r="I4" s="131" t="s">
        <v>406</v>
      </c>
      <c r="J4" s="131"/>
      <c r="K4" s="131"/>
    </row>
    <row r="5" spans="1:13" ht="53.4" thickBot="1" x14ac:dyDescent="0.3">
      <c r="A5" s="130"/>
      <c r="B5" s="130"/>
      <c r="C5" s="101" t="s">
        <v>450</v>
      </c>
      <c r="D5" s="101" t="s">
        <v>350</v>
      </c>
      <c r="E5" s="100" t="s">
        <v>451</v>
      </c>
      <c r="F5" s="101" t="s">
        <v>450</v>
      </c>
      <c r="G5" s="101" t="s">
        <v>350</v>
      </c>
      <c r="H5" s="100" t="s">
        <v>451</v>
      </c>
      <c r="I5" s="101" t="s">
        <v>450</v>
      </c>
      <c r="J5" s="101" t="s">
        <v>350</v>
      </c>
      <c r="K5" s="100" t="s">
        <v>451</v>
      </c>
    </row>
    <row r="6" spans="1:13" s="95" customFormat="1" x14ac:dyDescent="0.25">
      <c r="A6" s="83" t="s">
        <v>346</v>
      </c>
      <c r="B6" s="83" t="s">
        <v>347</v>
      </c>
      <c r="C6" s="22" t="s">
        <v>359</v>
      </c>
      <c r="D6" s="22" t="s">
        <v>360</v>
      </c>
      <c r="E6" s="22" t="s">
        <v>361</v>
      </c>
      <c r="F6" s="102" t="s">
        <v>373</v>
      </c>
      <c r="G6" s="102" t="s">
        <v>372</v>
      </c>
      <c r="H6" s="102" t="s">
        <v>371</v>
      </c>
      <c r="I6" s="102" t="s">
        <v>312</v>
      </c>
      <c r="J6" s="102" t="s">
        <v>312</v>
      </c>
      <c r="K6" s="102" t="s">
        <v>312</v>
      </c>
    </row>
    <row r="7" spans="1:13" x14ac:dyDescent="0.25">
      <c r="A7" s="83" t="s">
        <v>346</v>
      </c>
      <c r="B7" s="83" t="s">
        <v>348</v>
      </c>
      <c r="C7" s="22" t="s">
        <v>384</v>
      </c>
      <c r="D7" s="22" t="s">
        <v>386</v>
      </c>
      <c r="E7" s="22" t="s">
        <v>389</v>
      </c>
      <c r="F7" s="22" t="s">
        <v>312</v>
      </c>
      <c r="G7" s="22" t="s">
        <v>312</v>
      </c>
      <c r="H7" s="22" t="s">
        <v>312</v>
      </c>
      <c r="I7" s="22" t="s">
        <v>390</v>
      </c>
      <c r="J7" s="22" t="s">
        <v>391</v>
      </c>
      <c r="K7" s="22" t="s">
        <v>392</v>
      </c>
      <c r="M7" s="103"/>
    </row>
    <row r="8" spans="1:13" s="95" customFormat="1" ht="13.8" thickBot="1" x14ac:dyDescent="0.3">
      <c r="A8" s="86" t="s">
        <v>347</v>
      </c>
      <c r="B8" s="86" t="s">
        <v>348</v>
      </c>
      <c r="C8" s="25" t="s">
        <v>385</v>
      </c>
      <c r="D8" s="25" t="s">
        <v>387</v>
      </c>
      <c r="E8" s="25" t="s">
        <v>388</v>
      </c>
      <c r="F8" s="25" t="s">
        <v>312</v>
      </c>
      <c r="G8" s="25" t="s">
        <v>312</v>
      </c>
      <c r="H8" s="25" t="s">
        <v>312</v>
      </c>
      <c r="I8" s="101" t="s">
        <v>312</v>
      </c>
      <c r="J8" s="101" t="s">
        <v>312</v>
      </c>
      <c r="K8" s="101" t="s">
        <v>312</v>
      </c>
      <c r="M8" s="103"/>
    </row>
    <row r="9" spans="1:13" x14ac:dyDescent="0.25">
      <c r="B9" s="79"/>
      <c r="C9" s="22"/>
      <c r="D9" s="22"/>
      <c r="E9" s="22"/>
      <c r="F9" s="22"/>
      <c r="G9" s="22"/>
      <c r="H9" s="22"/>
      <c r="I9" s="22"/>
      <c r="J9" s="22"/>
      <c r="K9" s="22"/>
      <c r="M9" s="103"/>
    </row>
    <row r="10" spans="1:13" x14ac:dyDescent="0.25">
      <c r="A10" s="94" t="s">
        <v>382</v>
      </c>
      <c r="C10" s="22"/>
      <c r="D10" s="22"/>
      <c r="E10" s="22"/>
      <c r="F10" s="22"/>
      <c r="G10" s="22"/>
      <c r="H10" s="22"/>
      <c r="I10" s="22"/>
      <c r="J10" s="22"/>
      <c r="K10" s="22"/>
    </row>
    <row r="11" spans="1:13" x14ac:dyDescent="0.25">
      <c r="A11" s="129" t="s">
        <v>344</v>
      </c>
      <c r="B11" s="129" t="s">
        <v>345</v>
      </c>
      <c r="C11" s="131" t="s">
        <v>353</v>
      </c>
      <c r="D11" s="131"/>
      <c r="E11" s="131"/>
      <c r="F11" s="131" t="s">
        <v>354</v>
      </c>
      <c r="G11" s="131"/>
      <c r="H11" s="131"/>
      <c r="I11" s="131" t="s">
        <v>407</v>
      </c>
      <c r="J11" s="131"/>
      <c r="K11" s="131"/>
    </row>
    <row r="12" spans="1:13" ht="53.4" thickBot="1" x14ac:dyDescent="0.3">
      <c r="A12" s="130"/>
      <c r="B12" s="130"/>
      <c r="C12" s="101" t="s">
        <v>450</v>
      </c>
      <c r="D12" s="101" t="s">
        <v>350</v>
      </c>
      <c r="E12" s="100" t="s">
        <v>451</v>
      </c>
      <c r="F12" s="101" t="s">
        <v>450</v>
      </c>
      <c r="G12" s="101" t="s">
        <v>350</v>
      </c>
      <c r="H12" s="100" t="s">
        <v>451</v>
      </c>
      <c r="I12" s="101" t="s">
        <v>450</v>
      </c>
      <c r="J12" s="101" t="s">
        <v>350</v>
      </c>
      <c r="K12" s="100" t="s">
        <v>451</v>
      </c>
      <c r="M12" s="105"/>
    </row>
    <row r="13" spans="1:13" x14ac:dyDescent="0.25">
      <c r="A13" s="83" t="s">
        <v>346</v>
      </c>
      <c r="B13" s="83" t="s">
        <v>347</v>
      </c>
      <c r="C13" s="22" t="s">
        <v>409</v>
      </c>
      <c r="D13" s="22" t="s">
        <v>411</v>
      </c>
      <c r="E13" s="22" t="s">
        <v>413</v>
      </c>
      <c r="F13" s="102" t="s">
        <v>399</v>
      </c>
      <c r="G13" s="102" t="s">
        <v>400</v>
      </c>
      <c r="H13" s="102" t="s">
        <v>401</v>
      </c>
      <c r="I13" s="102" t="s">
        <v>312</v>
      </c>
      <c r="J13" s="102" t="s">
        <v>312</v>
      </c>
      <c r="K13" s="102" t="s">
        <v>312</v>
      </c>
      <c r="M13" s="103"/>
    </row>
    <row r="14" spans="1:13" x14ac:dyDescent="0.25">
      <c r="A14" s="83" t="s">
        <v>346</v>
      </c>
      <c r="B14" s="83" t="s">
        <v>348</v>
      </c>
      <c r="C14" s="22" t="s">
        <v>410</v>
      </c>
      <c r="D14" s="22" t="s">
        <v>412</v>
      </c>
      <c r="E14" s="22" t="s">
        <v>414</v>
      </c>
      <c r="F14" s="22" t="s">
        <v>312</v>
      </c>
      <c r="G14" s="22" t="s">
        <v>312</v>
      </c>
      <c r="H14" s="22" t="s">
        <v>312</v>
      </c>
      <c r="I14" s="22" t="s">
        <v>393</v>
      </c>
      <c r="J14" s="22" t="s">
        <v>394</v>
      </c>
      <c r="K14" s="22" t="s">
        <v>395</v>
      </c>
      <c r="M14" s="103"/>
    </row>
    <row r="15" spans="1:13" ht="13.8" thickBot="1" x14ac:dyDescent="0.3">
      <c r="A15" s="86" t="s">
        <v>347</v>
      </c>
      <c r="B15" s="86" t="s">
        <v>348</v>
      </c>
      <c r="C15" s="25">
        <v>1.6899999999999998E-2</v>
      </c>
      <c r="D15" s="25" t="s">
        <v>380</v>
      </c>
      <c r="E15" s="25" t="s">
        <v>381</v>
      </c>
      <c r="F15" s="25" t="s">
        <v>312</v>
      </c>
      <c r="G15" s="25" t="s">
        <v>312</v>
      </c>
      <c r="H15" s="25" t="s">
        <v>312</v>
      </c>
      <c r="I15" s="101" t="s">
        <v>312</v>
      </c>
      <c r="J15" s="101" t="s">
        <v>312</v>
      </c>
      <c r="K15" s="101" t="s">
        <v>312</v>
      </c>
      <c r="M15" s="103"/>
    </row>
    <row r="16" spans="1:13" x14ac:dyDescent="0.25">
      <c r="C16" s="22"/>
      <c r="D16" s="22"/>
      <c r="E16" s="22"/>
      <c r="F16" s="22"/>
      <c r="G16" s="22"/>
      <c r="H16" s="22"/>
      <c r="I16" s="22"/>
      <c r="J16" s="22"/>
      <c r="K16" s="22"/>
      <c r="M16" s="103"/>
    </row>
    <row r="17" spans="1:13" x14ac:dyDescent="0.25">
      <c r="A17" s="94" t="s">
        <v>383</v>
      </c>
      <c r="C17" s="22"/>
      <c r="D17" s="22"/>
      <c r="E17" s="22"/>
      <c r="F17" s="22"/>
      <c r="G17" s="22"/>
      <c r="H17" s="22"/>
      <c r="I17" s="22"/>
      <c r="J17" s="22"/>
      <c r="K17" s="22"/>
      <c r="M17" s="103"/>
    </row>
    <row r="18" spans="1:13" x14ac:dyDescent="0.25">
      <c r="A18" s="129" t="s">
        <v>344</v>
      </c>
      <c r="B18" s="129" t="s">
        <v>345</v>
      </c>
      <c r="C18" s="131" t="s">
        <v>356</v>
      </c>
      <c r="D18" s="131"/>
      <c r="E18" s="131"/>
      <c r="F18" s="131" t="s">
        <v>355</v>
      </c>
      <c r="G18" s="131"/>
      <c r="H18" s="131"/>
      <c r="I18" s="131" t="s">
        <v>408</v>
      </c>
      <c r="J18" s="131"/>
      <c r="K18" s="131"/>
      <c r="M18" s="103"/>
    </row>
    <row r="19" spans="1:13" ht="53.4" thickBot="1" x14ac:dyDescent="0.3">
      <c r="A19" s="130"/>
      <c r="B19" s="130"/>
      <c r="C19" s="101" t="s">
        <v>450</v>
      </c>
      <c r="D19" s="101" t="s">
        <v>350</v>
      </c>
      <c r="E19" s="100" t="s">
        <v>451</v>
      </c>
      <c r="F19" s="101" t="s">
        <v>450</v>
      </c>
      <c r="G19" s="101" t="s">
        <v>350</v>
      </c>
      <c r="H19" s="100" t="s">
        <v>451</v>
      </c>
      <c r="I19" s="101" t="s">
        <v>450</v>
      </c>
      <c r="J19" s="101" t="s">
        <v>350</v>
      </c>
      <c r="K19" s="100" t="s">
        <v>451</v>
      </c>
      <c r="M19" s="103"/>
    </row>
    <row r="20" spans="1:13" x14ac:dyDescent="0.25">
      <c r="A20" s="83" t="s">
        <v>346</v>
      </c>
      <c r="B20" s="83" t="s">
        <v>347</v>
      </c>
      <c r="C20" s="22" t="s">
        <v>415</v>
      </c>
      <c r="D20" s="22" t="s">
        <v>417</v>
      </c>
      <c r="E20" s="22" t="s">
        <v>420</v>
      </c>
      <c r="F20" s="22" t="s">
        <v>402</v>
      </c>
      <c r="G20" s="22" t="s">
        <v>403</v>
      </c>
      <c r="H20" s="22" t="s">
        <v>404</v>
      </c>
      <c r="I20" s="102" t="s">
        <v>312</v>
      </c>
      <c r="J20" s="102" t="s">
        <v>312</v>
      </c>
      <c r="K20" s="102" t="s">
        <v>312</v>
      </c>
      <c r="M20" s="103"/>
    </row>
    <row r="21" spans="1:13" x14ac:dyDescent="0.25">
      <c r="A21" s="83" t="s">
        <v>346</v>
      </c>
      <c r="B21" s="83" t="s">
        <v>348</v>
      </c>
      <c r="C21" s="22" t="s">
        <v>416</v>
      </c>
      <c r="D21" s="22" t="s">
        <v>418</v>
      </c>
      <c r="E21" s="22" t="s">
        <v>421</v>
      </c>
      <c r="F21" s="22" t="s">
        <v>312</v>
      </c>
      <c r="G21" s="22" t="s">
        <v>312</v>
      </c>
      <c r="H21" s="22" t="s">
        <v>312</v>
      </c>
      <c r="I21" s="22" t="s">
        <v>396</v>
      </c>
      <c r="J21" s="22" t="s">
        <v>397</v>
      </c>
      <c r="K21" s="22" t="s">
        <v>398</v>
      </c>
      <c r="M21" s="103"/>
    </row>
    <row r="22" spans="1:13" ht="13.8" thickBot="1" x14ac:dyDescent="0.3">
      <c r="A22" s="86" t="s">
        <v>347</v>
      </c>
      <c r="B22" s="86" t="s">
        <v>348</v>
      </c>
      <c r="C22" s="25">
        <v>-7.7200000000000005E-2</v>
      </c>
      <c r="D22" s="25" t="s">
        <v>419</v>
      </c>
      <c r="E22" s="25" t="s">
        <v>422</v>
      </c>
      <c r="F22" s="25" t="s">
        <v>312</v>
      </c>
      <c r="G22" s="25" t="s">
        <v>312</v>
      </c>
      <c r="H22" s="25" t="s">
        <v>312</v>
      </c>
      <c r="I22" s="101" t="s">
        <v>312</v>
      </c>
      <c r="J22" s="101" t="s">
        <v>312</v>
      </c>
      <c r="K22" s="101" t="s">
        <v>312</v>
      </c>
      <c r="M22" s="103"/>
    </row>
    <row r="23" spans="1:13" x14ac:dyDescent="0.25">
      <c r="C23" s="22"/>
      <c r="D23" s="22"/>
      <c r="E23" s="22"/>
      <c r="F23" s="22"/>
      <c r="G23" s="22"/>
      <c r="H23" s="22"/>
      <c r="I23" s="22"/>
      <c r="J23" s="22"/>
      <c r="K23" s="22"/>
      <c r="M23" s="103"/>
    </row>
    <row r="24" spans="1:13" x14ac:dyDescent="0.25">
      <c r="A24" s="94" t="s">
        <v>444</v>
      </c>
      <c r="C24" s="22"/>
      <c r="D24" s="22"/>
      <c r="E24" s="22"/>
      <c r="F24" s="22"/>
      <c r="G24" s="22"/>
      <c r="H24" s="22"/>
      <c r="I24" s="22"/>
      <c r="J24" s="22"/>
      <c r="K24" s="22"/>
      <c r="M24" s="103"/>
    </row>
    <row r="25" spans="1:13" x14ac:dyDescent="0.25">
      <c r="A25" s="129" t="s">
        <v>344</v>
      </c>
      <c r="B25" s="129" t="s">
        <v>345</v>
      </c>
      <c r="C25" s="131" t="s">
        <v>353</v>
      </c>
      <c r="D25" s="131"/>
      <c r="E25" s="131"/>
      <c r="F25" s="131" t="s">
        <v>352</v>
      </c>
      <c r="G25" s="131"/>
      <c r="H25" s="131"/>
      <c r="I25" s="131" t="s">
        <v>441</v>
      </c>
      <c r="J25" s="131"/>
      <c r="K25" s="131"/>
      <c r="M25" s="103"/>
    </row>
    <row r="26" spans="1:13" ht="53.4" thickBot="1" x14ac:dyDescent="0.3">
      <c r="A26" s="130"/>
      <c r="B26" s="130"/>
      <c r="C26" s="101" t="s">
        <v>450</v>
      </c>
      <c r="D26" s="101" t="s">
        <v>350</v>
      </c>
      <c r="E26" s="100" t="s">
        <v>451</v>
      </c>
      <c r="F26" s="101" t="s">
        <v>450</v>
      </c>
      <c r="G26" s="101" t="s">
        <v>350</v>
      </c>
      <c r="H26" s="100" t="s">
        <v>451</v>
      </c>
      <c r="I26" s="101" t="s">
        <v>450</v>
      </c>
      <c r="J26" s="101" t="s">
        <v>350</v>
      </c>
      <c r="K26" s="100" t="s">
        <v>451</v>
      </c>
      <c r="M26" s="103"/>
    </row>
    <row r="27" spans="1:13" x14ac:dyDescent="0.25">
      <c r="A27" s="83" t="s">
        <v>346</v>
      </c>
      <c r="B27" s="83" t="s">
        <v>347</v>
      </c>
      <c r="C27" s="22" t="s">
        <v>423</v>
      </c>
      <c r="D27" s="22" t="s">
        <v>426</v>
      </c>
      <c r="E27" s="22" t="s">
        <v>428</v>
      </c>
      <c r="F27" s="102" t="s">
        <v>579</v>
      </c>
      <c r="G27" s="102" t="s">
        <v>580</v>
      </c>
      <c r="H27" s="102" t="s">
        <v>581</v>
      </c>
      <c r="I27" s="22" t="s">
        <v>312</v>
      </c>
      <c r="J27" s="22" t="s">
        <v>312</v>
      </c>
      <c r="K27" s="22" t="s">
        <v>312</v>
      </c>
      <c r="M27" s="103"/>
    </row>
    <row r="28" spans="1:13" x14ac:dyDescent="0.25">
      <c r="A28" s="83" t="s">
        <v>346</v>
      </c>
      <c r="B28" s="83" t="s">
        <v>348</v>
      </c>
      <c r="C28" s="22" t="s">
        <v>424</v>
      </c>
      <c r="D28" s="22" t="s">
        <v>427</v>
      </c>
      <c r="E28" s="22" t="s">
        <v>429</v>
      </c>
      <c r="F28" s="22" t="s">
        <v>312</v>
      </c>
      <c r="G28" s="22" t="s">
        <v>312</v>
      </c>
      <c r="H28" s="22" t="s">
        <v>312</v>
      </c>
      <c r="I28" s="22">
        <v>-3.0499999999999999E-2</v>
      </c>
      <c r="J28" s="22" t="s">
        <v>442</v>
      </c>
      <c r="K28" s="22" t="s">
        <v>443</v>
      </c>
      <c r="M28" s="103"/>
    </row>
    <row r="29" spans="1:13" ht="13.8" thickBot="1" x14ac:dyDescent="0.3">
      <c r="A29" s="86" t="s">
        <v>347</v>
      </c>
      <c r="B29" s="86" t="s">
        <v>348</v>
      </c>
      <c r="C29" s="25" t="s">
        <v>425</v>
      </c>
      <c r="D29" s="25">
        <v>0.89500000000000002</v>
      </c>
      <c r="E29" s="25" t="s">
        <v>430</v>
      </c>
      <c r="F29" s="25" t="s">
        <v>312</v>
      </c>
      <c r="G29" s="25" t="s">
        <v>312</v>
      </c>
      <c r="H29" s="25" t="s">
        <v>312</v>
      </c>
      <c r="I29" s="25" t="s">
        <v>312</v>
      </c>
      <c r="J29" s="25" t="s">
        <v>312</v>
      </c>
      <c r="K29" s="25" t="s">
        <v>312</v>
      </c>
      <c r="M29" s="104"/>
    </row>
    <row r="30" spans="1:13" x14ac:dyDescent="0.25">
      <c r="C30" s="22"/>
      <c r="D30" s="22"/>
      <c r="E30" s="22"/>
      <c r="F30" s="22"/>
      <c r="G30" s="22"/>
      <c r="H30" s="22"/>
      <c r="I30" s="22"/>
      <c r="J30" s="22"/>
      <c r="K30" s="22"/>
    </row>
    <row r="31" spans="1:13" x14ac:dyDescent="0.25">
      <c r="A31" s="94" t="s">
        <v>445</v>
      </c>
      <c r="C31" s="22"/>
      <c r="D31" s="22"/>
      <c r="E31" s="22"/>
      <c r="F31" s="22"/>
      <c r="G31" s="22"/>
      <c r="H31" s="22"/>
      <c r="I31" s="22"/>
      <c r="J31" s="22"/>
      <c r="K31" s="22"/>
    </row>
    <row r="32" spans="1:13" x14ac:dyDescent="0.25">
      <c r="A32" s="129" t="s">
        <v>344</v>
      </c>
      <c r="B32" s="129" t="s">
        <v>345</v>
      </c>
      <c r="C32" s="131" t="s">
        <v>356</v>
      </c>
      <c r="D32" s="131"/>
      <c r="E32" s="131"/>
      <c r="F32" s="131" t="s">
        <v>355</v>
      </c>
      <c r="G32" s="131"/>
      <c r="H32" s="131"/>
      <c r="I32" s="131" t="s">
        <v>440</v>
      </c>
      <c r="J32" s="131"/>
      <c r="K32" s="131"/>
    </row>
    <row r="33" spans="1:11" ht="53.4" thickBot="1" x14ac:dyDescent="0.3">
      <c r="A33" s="130"/>
      <c r="B33" s="130"/>
      <c r="C33" s="101" t="s">
        <v>450</v>
      </c>
      <c r="D33" s="101" t="s">
        <v>350</v>
      </c>
      <c r="E33" s="100" t="s">
        <v>451</v>
      </c>
      <c r="F33" s="101" t="s">
        <v>450</v>
      </c>
      <c r="G33" s="101" t="s">
        <v>350</v>
      </c>
      <c r="H33" s="100" t="s">
        <v>451</v>
      </c>
      <c r="I33" s="101" t="s">
        <v>450</v>
      </c>
      <c r="J33" s="101" t="s">
        <v>350</v>
      </c>
      <c r="K33" s="100" t="s">
        <v>451</v>
      </c>
    </row>
    <row r="34" spans="1:11" x14ac:dyDescent="0.25">
      <c r="A34" s="83" t="s">
        <v>346</v>
      </c>
      <c r="B34" s="83" t="s">
        <v>347</v>
      </c>
      <c r="C34" s="22" t="s">
        <v>431</v>
      </c>
      <c r="D34" s="22" t="s">
        <v>434</v>
      </c>
      <c r="E34" s="22" t="s">
        <v>437</v>
      </c>
      <c r="F34" s="22" t="s">
        <v>312</v>
      </c>
      <c r="G34" s="22" t="s">
        <v>312</v>
      </c>
      <c r="H34" s="22" t="s">
        <v>312</v>
      </c>
      <c r="I34" s="22" t="s">
        <v>312</v>
      </c>
      <c r="J34" s="22" t="s">
        <v>312</v>
      </c>
      <c r="K34" s="22" t="s">
        <v>312</v>
      </c>
    </row>
    <row r="35" spans="1:11" x14ac:dyDescent="0.25">
      <c r="A35" s="83" t="s">
        <v>346</v>
      </c>
      <c r="B35" s="83" t="s">
        <v>348</v>
      </c>
      <c r="C35" s="22" t="s">
        <v>432</v>
      </c>
      <c r="D35" s="22" t="s">
        <v>435</v>
      </c>
      <c r="E35" s="22" t="s">
        <v>438</v>
      </c>
      <c r="F35" s="22" t="s">
        <v>312</v>
      </c>
      <c r="G35" s="22" t="s">
        <v>312</v>
      </c>
      <c r="H35" s="22" t="s">
        <v>312</v>
      </c>
      <c r="I35" s="22" t="s">
        <v>312</v>
      </c>
      <c r="J35" s="22" t="s">
        <v>312</v>
      </c>
      <c r="K35" s="22" t="s">
        <v>312</v>
      </c>
    </row>
    <row r="36" spans="1:11" ht="13.8" thickBot="1" x14ac:dyDescent="0.3">
      <c r="A36" s="86" t="s">
        <v>347</v>
      </c>
      <c r="B36" s="86" t="s">
        <v>348</v>
      </c>
      <c r="C36" s="25" t="s">
        <v>433</v>
      </c>
      <c r="D36" s="25" t="s">
        <v>436</v>
      </c>
      <c r="E36" s="25" t="s">
        <v>439</v>
      </c>
      <c r="F36" s="25" t="s">
        <v>312</v>
      </c>
      <c r="G36" s="25" t="s">
        <v>312</v>
      </c>
      <c r="H36" s="25" t="s">
        <v>312</v>
      </c>
      <c r="I36" s="25" t="s">
        <v>312</v>
      </c>
      <c r="J36" s="25" t="s">
        <v>312</v>
      </c>
      <c r="K36" s="25" t="s">
        <v>312</v>
      </c>
    </row>
    <row r="37" spans="1:11" x14ac:dyDescent="0.25">
      <c r="A37" s="83"/>
      <c r="B37" s="83"/>
      <c r="C37" s="22"/>
      <c r="D37" s="22"/>
      <c r="E37" s="22"/>
      <c r="F37" s="22"/>
      <c r="G37" s="22"/>
      <c r="H37" s="22"/>
      <c r="I37" s="22"/>
      <c r="J37" s="22"/>
      <c r="K37" s="22"/>
    </row>
    <row r="38" spans="1:11" x14ac:dyDescent="0.25">
      <c r="A38" s="94" t="s">
        <v>349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x14ac:dyDescent="0.25">
      <c r="A39" s="129" t="s">
        <v>344</v>
      </c>
      <c r="B39" s="129" t="s">
        <v>345</v>
      </c>
      <c r="C39" s="131" t="s">
        <v>357</v>
      </c>
      <c r="D39" s="131"/>
      <c r="E39" s="131"/>
      <c r="F39" s="131" t="s">
        <v>358</v>
      </c>
      <c r="G39" s="131"/>
      <c r="H39" s="131"/>
      <c r="I39" s="131" t="s">
        <v>405</v>
      </c>
      <c r="J39" s="131"/>
      <c r="K39" s="131"/>
    </row>
    <row r="40" spans="1:11" ht="53.4" thickBot="1" x14ac:dyDescent="0.3">
      <c r="A40" s="130"/>
      <c r="B40" s="130"/>
      <c r="C40" s="101" t="s">
        <v>450</v>
      </c>
      <c r="D40" s="101" t="s">
        <v>350</v>
      </c>
      <c r="E40" s="100" t="s">
        <v>451</v>
      </c>
      <c r="F40" s="101" t="s">
        <v>450</v>
      </c>
      <c r="G40" s="101" t="s">
        <v>350</v>
      </c>
      <c r="H40" s="100" t="s">
        <v>451</v>
      </c>
      <c r="I40" s="101" t="s">
        <v>450</v>
      </c>
      <c r="J40" s="101" t="s">
        <v>350</v>
      </c>
      <c r="K40" s="100" t="s">
        <v>451</v>
      </c>
    </row>
    <row r="41" spans="1:11" x14ac:dyDescent="0.25">
      <c r="A41" s="83" t="s">
        <v>346</v>
      </c>
      <c r="B41" s="83" t="s">
        <v>347</v>
      </c>
      <c r="C41" s="22" t="s">
        <v>362</v>
      </c>
      <c r="D41" s="22" t="s">
        <v>365</v>
      </c>
      <c r="E41" s="22" t="s">
        <v>368</v>
      </c>
      <c r="F41" s="22" t="s">
        <v>374</v>
      </c>
      <c r="G41" s="22" t="s">
        <v>375</v>
      </c>
      <c r="H41" s="22" t="s">
        <v>376</v>
      </c>
      <c r="I41" s="22" t="s">
        <v>312</v>
      </c>
      <c r="J41" s="22" t="s">
        <v>312</v>
      </c>
      <c r="K41" s="22" t="s">
        <v>312</v>
      </c>
    </row>
    <row r="42" spans="1:11" x14ac:dyDescent="0.25">
      <c r="A42" s="83" t="s">
        <v>346</v>
      </c>
      <c r="B42" s="83" t="s">
        <v>348</v>
      </c>
      <c r="C42" s="22" t="s">
        <v>363</v>
      </c>
      <c r="D42" s="22" t="s">
        <v>366</v>
      </c>
      <c r="E42" s="22" t="s">
        <v>369</v>
      </c>
      <c r="F42" s="22" t="s">
        <v>312</v>
      </c>
      <c r="G42" s="22" t="s">
        <v>312</v>
      </c>
      <c r="H42" s="22" t="s">
        <v>312</v>
      </c>
      <c r="I42" s="22" t="s">
        <v>377</v>
      </c>
      <c r="J42" s="22" t="s">
        <v>378</v>
      </c>
      <c r="K42" s="22" t="s">
        <v>379</v>
      </c>
    </row>
    <row r="43" spans="1:11" ht="13.8" thickBot="1" x14ac:dyDescent="0.3">
      <c r="A43" s="86" t="s">
        <v>347</v>
      </c>
      <c r="B43" s="86" t="s">
        <v>348</v>
      </c>
      <c r="C43" s="25" t="s">
        <v>364</v>
      </c>
      <c r="D43" s="25" t="s">
        <v>367</v>
      </c>
      <c r="E43" s="25" t="s">
        <v>370</v>
      </c>
      <c r="F43" s="25" t="s">
        <v>312</v>
      </c>
      <c r="G43" s="25" t="s">
        <v>312</v>
      </c>
      <c r="H43" s="25" t="s">
        <v>312</v>
      </c>
      <c r="I43" s="25" t="s">
        <v>312</v>
      </c>
      <c r="J43" s="25" t="s">
        <v>312</v>
      </c>
      <c r="K43" s="25" t="s">
        <v>312</v>
      </c>
    </row>
  </sheetData>
  <mergeCells count="30">
    <mergeCell ref="A4:A5"/>
    <mergeCell ref="B4:B5"/>
    <mergeCell ref="C4:E4"/>
    <mergeCell ref="F4:H4"/>
    <mergeCell ref="I4:K4"/>
    <mergeCell ref="A18:A19"/>
    <mergeCell ref="B18:B19"/>
    <mergeCell ref="C18:E18"/>
    <mergeCell ref="F18:H18"/>
    <mergeCell ref="I18:K18"/>
    <mergeCell ref="A11:A12"/>
    <mergeCell ref="B11:B12"/>
    <mergeCell ref="C11:E11"/>
    <mergeCell ref="F11:H11"/>
    <mergeCell ref="I11:K11"/>
    <mergeCell ref="A32:A33"/>
    <mergeCell ref="B32:B33"/>
    <mergeCell ref="C32:E32"/>
    <mergeCell ref="F32:H32"/>
    <mergeCell ref="I32:K32"/>
    <mergeCell ref="A25:A26"/>
    <mergeCell ref="B25:B26"/>
    <mergeCell ref="C25:E25"/>
    <mergeCell ref="F25:H25"/>
    <mergeCell ref="I25:K25"/>
    <mergeCell ref="A39:A40"/>
    <mergeCell ref="B39:B40"/>
    <mergeCell ref="C39:E39"/>
    <mergeCell ref="F39:H39"/>
    <mergeCell ref="I39:K39"/>
  </mergeCells>
  <pageMargins left="0.7" right="0.7" top="0.75" bottom="0.75" header="0.3" footer="0.3"/>
  <ignoredErrors>
    <ignoredError sqref="C6:K6 C38:K38 C23:K24 C16:H17 I13:K13 F14:H14 F34:K36 D12 J12 G12 D19 G19 C30:K31 D26 G26 J26 D33 J33 G33 C41:K43 D40 G40 J40 C9:K10 F8:K8 C7:E8 C11:H11 J11:K11 C18:H18 F7:H7 I7:K7 F21:H21 F13:H13 F20:H20 J18:K18 J19 I15:K17 I20:K20 I14:K14 I21:K21 C39:H39 J39:K39 F15:H15 C13:E15 F22:K22 C20:E22 I27:K27 C27:E29 F37:K37 C37:E37 C34:E36 C32:H32 J32:K32 C25:H25 J25:K25 F29:K29 F28:H28 J28:K28 F27:H2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91B0-C080-40BB-B045-CE1F2262CA0C}">
  <dimension ref="A1:H45"/>
  <sheetViews>
    <sheetView workbookViewId="0">
      <selection activeCell="K16" sqref="K16"/>
    </sheetView>
  </sheetViews>
  <sheetFormatPr defaultRowHeight="13.2" x14ac:dyDescent="0.25"/>
  <cols>
    <col min="1" max="2" width="21.44140625" style="94" customWidth="1"/>
    <col min="3" max="8" width="11.44140625" style="94" customWidth="1"/>
    <col min="9" max="16384" width="8.88671875" style="94"/>
  </cols>
  <sheetData>
    <row r="1" spans="1:8" x14ac:dyDescent="0.25">
      <c r="A1" s="94" t="s">
        <v>461</v>
      </c>
    </row>
    <row r="3" spans="1:8" x14ac:dyDescent="0.25">
      <c r="A3" s="107" t="s">
        <v>601</v>
      </c>
      <c r="B3" s="106"/>
      <c r="C3" s="106"/>
      <c r="D3" s="106"/>
    </row>
    <row r="4" spans="1:8" ht="40.200000000000003" thickBot="1" x14ac:dyDescent="0.3">
      <c r="A4" s="108" t="s">
        <v>344</v>
      </c>
      <c r="B4" s="108" t="s">
        <v>345</v>
      </c>
      <c r="C4" s="87" t="s">
        <v>446</v>
      </c>
      <c r="D4" s="87" t="s">
        <v>447</v>
      </c>
      <c r="E4" s="87" t="s">
        <v>450</v>
      </c>
      <c r="F4" s="87" t="s">
        <v>350</v>
      </c>
      <c r="G4" s="87" t="s">
        <v>564</v>
      </c>
      <c r="H4" s="87" t="s">
        <v>454</v>
      </c>
    </row>
    <row r="5" spans="1:8" s="95" customFormat="1" x14ac:dyDescent="0.25">
      <c r="A5" s="83" t="s">
        <v>302</v>
      </c>
      <c r="B5" s="83" t="s">
        <v>382</v>
      </c>
      <c r="C5" s="79" t="s">
        <v>541</v>
      </c>
      <c r="D5" s="79" t="s">
        <v>448</v>
      </c>
      <c r="E5" s="22" t="s">
        <v>546</v>
      </c>
      <c r="F5" s="22" t="s">
        <v>558</v>
      </c>
      <c r="G5" s="22" t="s">
        <v>563</v>
      </c>
      <c r="H5" s="22" t="s">
        <v>452</v>
      </c>
    </row>
    <row r="6" spans="1:8" x14ac:dyDescent="0.25">
      <c r="A6" s="88" t="s">
        <v>302</v>
      </c>
      <c r="B6" s="88" t="s">
        <v>383</v>
      </c>
      <c r="C6" s="89" t="s">
        <v>541</v>
      </c>
      <c r="D6" s="89" t="s">
        <v>542</v>
      </c>
      <c r="E6" s="102" t="s">
        <v>547</v>
      </c>
      <c r="F6" s="102" t="s">
        <v>455</v>
      </c>
      <c r="G6" s="102" t="s">
        <v>452</v>
      </c>
      <c r="H6" s="102" t="s">
        <v>459</v>
      </c>
    </row>
    <row r="7" spans="1:8" x14ac:dyDescent="0.25">
      <c r="A7" s="83" t="s">
        <v>302</v>
      </c>
      <c r="B7" s="94" t="s">
        <v>444</v>
      </c>
      <c r="C7" s="79" t="s">
        <v>541</v>
      </c>
      <c r="D7" s="79" t="s">
        <v>448</v>
      </c>
      <c r="E7" s="22" t="s">
        <v>548</v>
      </c>
      <c r="F7" s="22" t="s">
        <v>559</v>
      </c>
      <c r="G7" s="22" t="s">
        <v>559</v>
      </c>
      <c r="H7" s="22" t="s">
        <v>452</v>
      </c>
    </row>
    <row r="8" spans="1:8" x14ac:dyDescent="0.25">
      <c r="A8" s="88" t="s">
        <v>302</v>
      </c>
      <c r="B8" s="95" t="s">
        <v>445</v>
      </c>
      <c r="C8" s="89" t="s">
        <v>541</v>
      </c>
      <c r="D8" s="102" t="s">
        <v>545</v>
      </c>
      <c r="E8" s="102" t="s">
        <v>549</v>
      </c>
      <c r="F8" s="102" t="s">
        <v>455</v>
      </c>
      <c r="G8" s="102" t="s">
        <v>452</v>
      </c>
      <c r="H8" s="102" t="s">
        <v>459</v>
      </c>
    </row>
    <row r="9" spans="1:8" x14ac:dyDescent="0.25">
      <c r="A9" s="88" t="s">
        <v>302</v>
      </c>
      <c r="B9" s="95" t="s">
        <v>349</v>
      </c>
      <c r="C9" s="89" t="s">
        <v>541</v>
      </c>
      <c r="D9" s="102" t="s">
        <v>544</v>
      </c>
      <c r="E9" s="102" t="s">
        <v>550</v>
      </c>
      <c r="F9" s="102" t="s">
        <v>455</v>
      </c>
      <c r="G9" s="102" t="s">
        <v>452</v>
      </c>
      <c r="H9" s="102" t="s">
        <v>459</v>
      </c>
    </row>
    <row r="10" spans="1:8" x14ac:dyDescent="0.25">
      <c r="A10" s="88" t="s">
        <v>382</v>
      </c>
      <c r="B10" s="95" t="s">
        <v>383</v>
      </c>
      <c r="C10" s="89" t="s">
        <v>448</v>
      </c>
      <c r="D10" s="89" t="s">
        <v>542</v>
      </c>
      <c r="E10" s="102" t="s">
        <v>551</v>
      </c>
      <c r="F10" s="102" t="s">
        <v>455</v>
      </c>
      <c r="G10" s="102" t="s">
        <v>452</v>
      </c>
      <c r="H10" s="102" t="s">
        <v>459</v>
      </c>
    </row>
    <row r="11" spans="1:8" x14ac:dyDescent="0.25">
      <c r="A11" s="83" t="s">
        <v>382</v>
      </c>
      <c r="B11" s="94" t="s">
        <v>444</v>
      </c>
      <c r="C11" s="79" t="s">
        <v>448</v>
      </c>
      <c r="D11" s="79" t="s">
        <v>448</v>
      </c>
      <c r="E11" s="22" t="s">
        <v>552</v>
      </c>
      <c r="F11" s="22" t="s">
        <v>560</v>
      </c>
      <c r="G11" s="22" t="s">
        <v>562</v>
      </c>
      <c r="H11" s="22" t="s">
        <v>452</v>
      </c>
    </row>
    <row r="12" spans="1:8" x14ac:dyDescent="0.25">
      <c r="A12" s="88" t="s">
        <v>382</v>
      </c>
      <c r="B12" s="95" t="s">
        <v>445</v>
      </c>
      <c r="C12" s="89" t="s">
        <v>448</v>
      </c>
      <c r="D12" s="102" t="s">
        <v>545</v>
      </c>
      <c r="E12" s="102" t="s">
        <v>553</v>
      </c>
      <c r="F12" s="102" t="s">
        <v>455</v>
      </c>
      <c r="G12" s="102" t="s">
        <v>452</v>
      </c>
      <c r="H12" s="102" t="s">
        <v>459</v>
      </c>
    </row>
    <row r="13" spans="1:8" x14ac:dyDescent="0.25">
      <c r="A13" s="88" t="s">
        <v>382</v>
      </c>
      <c r="B13" s="95" t="s">
        <v>349</v>
      </c>
      <c r="C13" s="89" t="s">
        <v>448</v>
      </c>
      <c r="D13" s="102" t="s">
        <v>544</v>
      </c>
      <c r="E13" s="102" t="s">
        <v>554</v>
      </c>
      <c r="F13" s="102" t="s">
        <v>455</v>
      </c>
      <c r="G13" s="102" t="s">
        <v>452</v>
      </c>
      <c r="H13" s="102" t="s">
        <v>459</v>
      </c>
    </row>
    <row r="14" spans="1:8" x14ac:dyDescent="0.25">
      <c r="A14" s="95" t="s">
        <v>383</v>
      </c>
      <c r="B14" s="95" t="s">
        <v>444</v>
      </c>
      <c r="C14" s="89" t="s">
        <v>542</v>
      </c>
      <c r="D14" s="89" t="s">
        <v>543</v>
      </c>
      <c r="E14" s="102" t="s">
        <v>506</v>
      </c>
      <c r="F14" s="102" t="s">
        <v>455</v>
      </c>
      <c r="G14" s="102" t="s">
        <v>453</v>
      </c>
      <c r="H14" s="102" t="s">
        <v>459</v>
      </c>
    </row>
    <row r="15" spans="1:8" x14ac:dyDescent="0.25">
      <c r="A15" s="94" t="s">
        <v>383</v>
      </c>
      <c r="B15" s="94" t="s">
        <v>445</v>
      </c>
      <c r="C15" s="79" t="s">
        <v>542</v>
      </c>
      <c r="D15" s="22" t="s">
        <v>545</v>
      </c>
      <c r="E15" s="22" t="s">
        <v>555</v>
      </c>
      <c r="F15" s="22" t="s">
        <v>370</v>
      </c>
      <c r="G15" s="22" t="s">
        <v>561</v>
      </c>
      <c r="H15" s="22" t="s">
        <v>452</v>
      </c>
    </row>
    <row r="16" spans="1:8" x14ac:dyDescent="0.25">
      <c r="A16" s="95" t="s">
        <v>383</v>
      </c>
      <c r="B16" s="95" t="s">
        <v>349</v>
      </c>
      <c r="C16" s="89" t="s">
        <v>542</v>
      </c>
      <c r="D16" s="102" t="s">
        <v>544</v>
      </c>
      <c r="E16" s="102" t="s">
        <v>508</v>
      </c>
      <c r="F16" s="102" t="s">
        <v>455</v>
      </c>
      <c r="G16" s="102" t="s">
        <v>453</v>
      </c>
      <c r="H16" s="102" t="s">
        <v>459</v>
      </c>
    </row>
    <row r="17" spans="1:8" x14ac:dyDescent="0.25">
      <c r="A17" s="95" t="s">
        <v>444</v>
      </c>
      <c r="B17" s="95" t="s">
        <v>445</v>
      </c>
      <c r="C17" s="89" t="s">
        <v>543</v>
      </c>
      <c r="D17" s="102" t="s">
        <v>545</v>
      </c>
      <c r="E17" s="102" t="s">
        <v>556</v>
      </c>
      <c r="F17" s="102" t="s">
        <v>455</v>
      </c>
      <c r="G17" s="102" t="s">
        <v>452</v>
      </c>
      <c r="H17" s="102" t="s">
        <v>459</v>
      </c>
    </row>
    <row r="18" spans="1:8" x14ac:dyDescent="0.25">
      <c r="A18" s="95" t="s">
        <v>444</v>
      </c>
      <c r="B18" s="95" t="s">
        <v>349</v>
      </c>
      <c r="C18" s="89" t="s">
        <v>543</v>
      </c>
      <c r="D18" s="102" t="s">
        <v>544</v>
      </c>
      <c r="E18" s="102" t="s">
        <v>456</v>
      </c>
      <c r="F18" s="102" t="s">
        <v>455</v>
      </c>
      <c r="G18" s="102" t="s">
        <v>452</v>
      </c>
      <c r="H18" s="102" t="s">
        <v>459</v>
      </c>
    </row>
    <row r="19" spans="1:8" ht="13.8" thickBot="1" x14ac:dyDescent="0.3">
      <c r="A19" s="96" t="s">
        <v>445</v>
      </c>
      <c r="B19" s="96" t="s">
        <v>349</v>
      </c>
      <c r="C19" s="93" t="s">
        <v>545</v>
      </c>
      <c r="D19" s="101" t="s">
        <v>544</v>
      </c>
      <c r="E19" s="101" t="s">
        <v>557</v>
      </c>
      <c r="F19" s="101" t="s">
        <v>455</v>
      </c>
      <c r="G19" s="101" t="s">
        <v>453</v>
      </c>
      <c r="H19" s="101" t="s">
        <v>459</v>
      </c>
    </row>
    <row r="20" spans="1:8" x14ac:dyDescent="0.25">
      <c r="B20" s="79"/>
      <c r="C20" s="79"/>
      <c r="D20" s="22"/>
      <c r="E20" s="22"/>
      <c r="F20" s="22"/>
      <c r="H20" s="103"/>
    </row>
    <row r="21" spans="1:8" x14ac:dyDescent="0.25">
      <c r="A21" s="107" t="s">
        <v>602</v>
      </c>
      <c r="B21" s="106"/>
      <c r="C21" s="106"/>
      <c r="D21" s="106"/>
    </row>
    <row r="22" spans="1:8" ht="40.200000000000003" thickBot="1" x14ac:dyDescent="0.3">
      <c r="A22" s="108" t="s">
        <v>344</v>
      </c>
      <c r="B22" s="108" t="s">
        <v>345</v>
      </c>
      <c r="C22" s="87" t="s">
        <v>446</v>
      </c>
      <c r="D22" s="87" t="s">
        <v>447</v>
      </c>
      <c r="E22" s="87" t="s">
        <v>450</v>
      </c>
      <c r="F22" s="87" t="s">
        <v>350</v>
      </c>
      <c r="G22" s="87" t="s">
        <v>564</v>
      </c>
      <c r="H22" s="87" t="s">
        <v>454</v>
      </c>
    </row>
    <row r="23" spans="1:8" x14ac:dyDescent="0.25">
      <c r="A23" s="83" t="s">
        <v>302</v>
      </c>
      <c r="B23" s="83" t="s">
        <v>382</v>
      </c>
      <c r="C23" s="79" t="s">
        <v>578</v>
      </c>
      <c r="D23" s="79" t="s">
        <v>550</v>
      </c>
      <c r="E23" s="22" t="s">
        <v>584</v>
      </c>
      <c r="F23" s="22" t="s">
        <v>597</v>
      </c>
      <c r="G23" s="22" t="s">
        <v>599</v>
      </c>
      <c r="H23" s="22" t="s">
        <v>598</v>
      </c>
    </row>
    <row r="24" spans="1:8" x14ac:dyDescent="0.25">
      <c r="A24" s="88" t="s">
        <v>302</v>
      </c>
      <c r="B24" s="88" t="s">
        <v>383</v>
      </c>
      <c r="C24" s="89" t="s">
        <v>578</v>
      </c>
      <c r="D24" s="89" t="s">
        <v>583</v>
      </c>
      <c r="E24" s="102" t="s">
        <v>585</v>
      </c>
      <c r="F24" s="102" t="s">
        <v>455</v>
      </c>
      <c r="G24" s="102" t="s">
        <v>452</v>
      </c>
      <c r="H24" s="102" t="s">
        <v>459</v>
      </c>
    </row>
    <row r="25" spans="1:8" x14ac:dyDescent="0.25">
      <c r="A25" s="83" t="s">
        <v>302</v>
      </c>
      <c r="B25" s="94" t="s">
        <v>444</v>
      </c>
      <c r="C25" s="79" t="s">
        <v>578</v>
      </c>
      <c r="D25" s="79" t="s">
        <v>582</v>
      </c>
      <c r="E25" s="22" t="s">
        <v>586</v>
      </c>
      <c r="F25" s="22" t="s">
        <v>596</v>
      </c>
      <c r="G25" s="22" t="s">
        <v>391</v>
      </c>
      <c r="H25" s="22" t="s">
        <v>452</v>
      </c>
    </row>
    <row r="26" spans="1:8" x14ac:dyDescent="0.25">
      <c r="A26" s="88" t="s">
        <v>302</v>
      </c>
      <c r="B26" s="95" t="s">
        <v>349</v>
      </c>
      <c r="C26" s="89" t="s">
        <v>578</v>
      </c>
      <c r="D26" s="102" t="s">
        <v>499</v>
      </c>
      <c r="E26" s="102" t="s">
        <v>507</v>
      </c>
      <c r="F26" s="102" t="s">
        <v>595</v>
      </c>
      <c r="G26" s="102" t="s">
        <v>452</v>
      </c>
      <c r="H26" s="102" t="s">
        <v>529</v>
      </c>
    </row>
    <row r="27" spans="1:8" x14ac:dyDescent="0.25">
      <c r="A27" s="88" t="s">
        <v>382</v>
      </c>
      <c r="B27" s="95" t="s">
        <v>383</v>
      </c>
      <c r="C27" s="89" t="s">
        <v>550</v>
      </c>
      <c r="D27" s="89" t="s">
        <v>583</v>
      </c>
      <c r="E27" s="102" t="s">
        <v>587</v>
      </c>
      <c r="F27" s="102" t="s">
        <v>455</v>
      </c>
      <c r="G27" s="102" t="s">
        <v>452</v>
      </c>
      <c r="H27" s="102" t="s">
        <v>459</v>
      </c>
    </row>
    <row r="28" spans="1:8" x14ac:dyDescent="0.25">
      <c r="A28" s="83" t="s">
        <v>382</v>
      </c>
      <c r="B28" s="94" t="s">
        <v>444</v>
      </c>
      <c r="C28" s="79" t="s">
        <v>550</v>
      </c>
      <c r="D28" s="79" t="s">
        <v>582</v>
      </c>
      <c r="E28" s="22" t="s">
        <v>588</v>
      </c>
      <c r="F28" s="22" t="s">
        <v>594</v>
      </c>
      <c r="G28" s="22" t="s">
        <v>511</v>
      </c>
      <c r="H28" s="22" t="s">
        <v>452</v>
      </c>
    </row>
    <row r="29" spans="1:8" x14ac:dyDescent="0.25">
      <c r="A29" s="83" t="s">
        <v>382</v>
      </c>
      <c r="B29" s="94" t="s">
        <v>349</v>
      </c>
      <c r="C29" s="79" t="s">
        <v>550</v>
      </c>
      <c r="D29" s="22" t="s">
        <v>499</v>
      </c>
      <c r="E29" s="22" t="s">
        <v>589</v>
      </c>
      <c r="F29" s="22" t="s">
        <v>593</v>
      </c>
      <c r="G29" s="22" t="s">
        <v>600</v>
      </c>
      <c r="H29" s="22" t="s">
        <v>452</v>
      </c>
    </row>
    <row r="30" spans="1:8" x14ac:dyDescent="0.25">
      <c r="A30" s="95" t="s">
        <v>383</v>
      </c>
      <c r="B30" s="95" t="s">
        <v>444</v>
      </c>
      <c r="C30" s="89" t="s">
        <v>583</v>
      </c>
      <c r="D30" s="89" t="s">
        <v>582</v>
      </c>
      <c r="E30" s="102" t="s">
        <v>590</v>
      </c>
      <c r="F30" s="102" t="s">
        <v>455</v>
      </c>
      <c r="G30" s="102" t="s">
        <v>453</v>
      </c>
      <c r="H30" s="102" t="s">
        <v>459</v>
      </c>
    </row>
    <row r="31" spans="1:8" x14ac:dyDescent="0.25">
      <c r="A31" s="95" t="s">
        <v>383</v>
      </c>
      <c r="B31" s="95" t="s">
        <v>349</v>
      </c>
      <c r="C31" s="89" t="s">
        <v>583</v>
      </c>
      <c r="D31" s="102" t="s">
        <v>499</v>
      </c>
      <c r="E31" s="102" t="s">
        <v>579</v>
      </c>
      <c r="F31" s="102" t="s">
        <v>455</v>
      </c>
      <c r="G31" s="102" t="s">
        <v>453</v>
      </c>
      <c r="H31" s="102" t="s">
        <v>459</v>
      </c>
    </row>
    <row r="32" spans="1:8" ht="13.2" customHeight="1" thickBot="1" x14ac:dyDescent="0.3">
      <c r="A32" s="124" t="s">
        <v>444</v>
      </c>
      <c r="B32" s="124" t="s">
        <v>349</v>
      </c>
      <c r="C32" s="81" t="s">
        <v>582</v>
      </c>
      <c r="D32" s="25" t="s">
        <v>499</v>
      </c>
      <c r="E32" s="25" t="s">
        <v>591</v>
      </c>
      <c r="F32" s="25" t="s">
        <v>592</v>
      </c>
      <c r="G32" s="25" t="s">
        <v>426</v>
      </c>
      <c r="H32" s="25" t="s">
        <v>452</v>
      </c>
    </row>
    <row r="34" spans="1:8" x14ac:dyDescent="0.25">
      <c r="A34" s="107" t="s">
        <v>603</v>
      </c>
      <c r="B34" s="106"/>
      <c r="C34" s="106"/>
      <c r="D34" s="106"/>
    </row>
    <row r="35" spans="1:8" ht="40.200000000000003" thickBot="1" x14ac:dyDescent="0.3">
      <c r="A35" s="108" t="s">
        <v>344</v>
      </c>
      <c r="B35" s="108" t="s">
        <v>345</v>
      </c>
      <c r="C35" s="87" t="s">
        <v>446</v>
      </c>
      <c r="D35" s="87" t="s">
        <v>447</v>
      </c>
      <c r="E35" s="87" t="s">
        <v>450</v>
      </c>
      <c r="F35" s="87" t="s">
        <v>350</v>
      </c>
      <c r="G35" s="87" t="s">
        <v>564</v>
      </c>
      <c r="H35" s="87" t="s">
        <v>454</v>
      </c>
    </row>
    <row r="36" spans="1:8" x14ac:dyDescent="0.25">
      <c r="A36" s="83" t="s">
        <v>302</v>
      </c>
      <c r="B36" s="83" t="s">
        <v>382</v>
      </c>
      <c r="C36" s="79">
        <v>4.29</v>
      </c>
      <c r="D36" s="79">
        <v>3.89</v>
      </c>
      <c r="E36" s="22">
        <v>0.40100000000000002</v>
      </c>
      <c r="F36" s="22" t="s">
        <v>568</v>
      </c>
      <c r="G36" s="22" t="s">
        <v>573</v>
      </c>
      <c r="H36" s="22" t="s">
        <v>452</v>
      </c>
    </row>
    <row r="37" spans="1:8" s="95" customFormat="1" x14ac:dyDescent="0.25">
      <c r="A37" s="88" t="s">
        <v>302</v>
      </c>
      <c r="B37" s="88" t="s">
        <v>383</v>
      </c>
      <c r="C37" s="89">
        <v>4.29</v>
      </c>
      <c r="D37" s="89">
        <v>1.28</v>
      </c>
      <c r="E37" s="102">
        <v>3.01</v>
      </c>
      <c r="F37" s="102" t="s">
        <v>455</v>
      </c>
      <c r="G37" s="102" t="s">
        <v>452</v>
      </c>
      <c r="H37" s="102" t="s">
        <v>459</v>
      </c>
    </row>
    <row r="38" spans="1:8" x14ac:dyDescent="0.25">
      <c r="A38" s="83" t="s">
        <v>302</v>
      </c>
      <c r="B38" s="94" t="s">
        <v>444</v>
      </c>
      <c r="C38" s="79">
        <v>4.29</v>
      </c>
      <c r="D38" s="79">
        <v>4.4400000000000004</v>
      </c>
      <c r="E38" s="22">
        <v>-0.14299999999999999</v>
      </c>
      <c r="F38" s="22" t="s">
        <v>565</v>
      </c>
      <c r="G38" s="22" t="s">
        <v>566</v>
      </c>
      <c r="H38" s="22" t="s">
        <v>452</v>
      </c>
    </row>
    <row r="39" spans="1:8" s="95" customFormat="1" x14ac:dyDescent="0.25">
      <c r="A39" s="83" t="s">
        <v>302</v>
      </c>
      <c r="B39" s="94" t="s">
        <v>349</v>
      </c>
      <c r="C39" s="79">
        <v>4.29</v>
      </c>
      <c r="D39" s="22">
        <v>3.04</v>
      </c>
      <c r="E39" s="22">
        <v>1.25</v>
      </c>
      <c r="F39" s="22" t="s">
        <v>569</v>
      </c>
      <c r="G39" s="22" t="s">
        <v>457</v>
      </c>
      <c r="H39" s="22" t="s">
        <v>576</v>
      </c>
    </row>
    <row r="40" spans="1:8" s="95" customFormat="1" x14ac:dyDescent="0.25">
      <c r="A40" s="88" t="s">
        <v>382</v>
      </c>
      <c r="B40" s="95" t="s">
        <v>383</v>
      </c>
      <c r="C40" s="89">
        <v>3.89</v>
      </c>
      <c r="D40" s="89">
        <v>1.28</v>
      </c>
      <c r="E40" s="102">
        <v>2.61</v>
      </c>
      <c r="F40" s="102" t="s">
        <v>455</v>
      </c>
      <c r="G40" s="102" t="s">
        <v>452</v>
      </c>
      <c r="H40" s="102" t="s">
        <v>459</v>
      </c>
    </row>
    <row r="41" spans="1:8" x14ac:dyDescent="0.25">
      <c r="A41" s="83" t="s">
        <v>382</v>
      </c>
      <c r="B41" s="94" t="s">
        <v>444</v>
      </c>
      <c r="C41" s="79">
        <v>3.89</v>
      </c>
      <c r="D41" s="79">
        <v>4.4400000000000004</v>
      </c>
      <c r="E41" s="22">
        <v>-0.54400000000000004</v>
      </c>
      <c r="F41" s="22" t="s">
        <v>570</v>
      </c>
      <c r="G41" s="22" t="s">
        <v>574</v>
      </c>
      <c r="H41" s="22" t="s">
        <v>452</v>
      </c>
    </row>
    <row r="42" spans="1:8" x14ac:dyDescent="0.25">
      <c r="A42" s="83" t="s">
        <v>382</v>
      </c>
      <c r="B42" s="94" t="s">
        <v>349</v>
      </c>
      <c r="C42" s="79">
        <v>3.89</v>
      </c>
      <c r="D42" s="22">
        <v>3.04</v>
      </c>
      <c r="E42" s="22">
        <v>0.85</v>
      </c>
      <c r="F42" s="22" t="s">
        <v>571</v>
      </c>
      <c r="G42" s="22" t="s">
        <v>575</v>
      </c>
      <c r="H42" s="22" t="s">
        <v>452</v>
      </c>
    </row>
    <row r="43" spans="1:8" s="95" customFormat="1" x14ac:dyDescent="0.25">
      <c r="A43" s="95" t="s">
        <v>383</v>
      </c>
      <c r="B43" s="95" t="s">
        <v>444</v>
      </c>
      <c r="C43" s="89">
        <v>1.28</v>
      </c>
      <c r="D43" s="89">
        <v>4.4400000000000004</v>
      </c>
      <c r="E43" s="102">
        <v>-3.16</v>
      </c>
      <c r="F43" s="102" t="s">
        <v>455</v>
      </c>
      <c r="G43" s="102" t="s">
        <v>453</v>
      </c>
      <c r="H43" s="102" t="s">
        <v>459</v>
      </c>
    </row>
    <row r="44" spans="1:8" s="95" customFormat="1" x14ac:dyDescent="0.25">
      <c r="A44" s="95" t="s">
        <v>383</v>
      </c>
      <c r="B44" s="95" t="s">
        <v>349</v>
      </c>
      <c r="C44" s="89">
        <v>1.28</v>
      </c>
      <c r="D44" s="102">
        <v>3.04</v>
      </c>
      <c r="E44" s="102">
        <v>-1.76</v>
      </c>
      <c r="F44" s="102" t="s">
        <v>455</v>
      </c>
      <c r="G44" s="102" t="s">
        <v>453</v>
      </c>
      <c r="H44" s="102" t="s">
        <v>459</v>
      </c>
    </row>
    <row r="45" spans="1:8" s="95" customFormat="1" ht="13.8" thickBot="1" x14ac:dyDescent="0.3">
      <c r="A45" s="96" t="s">
        <v>444</v>
      </c>
      <c r="B45" s="96" t="s">
        <v>349</v>
      </c>
      <c r="C45" s="93">
        <v>4.4400000000000004</v>
      </c>
      <c r="D45" s="101">
        <v>3.04</v>
      </c>
      <c r="E45" s="101">
        <v>1.39</v>
      </c>
      <c r="F45" s="101" t="s">
        <v>572</v>
      </c>
      <c r="G45" s="101" t="s">
        <v>452</v>
      </c>
      <c r="H45" s="101" t="s">
        <v>577</v>
      </c>
    </row>
  </sheetData>
  <pageMargins left="0.7" right="0.7" top="0.75" bottom="0.75" header="0.3" footer="0.3"/>
  <ignoredErrors>
    <ignoredError sqref="H15 H11 H7 H6 H8:H10 H12:H14 H16:H22 H5 G18 G17 G16 G19 G14 G13 G12 G10 G9 G8 G6 C5:G5 C7:G7 C6:F6 C11:G11 C8:F8 C9:F9 C10:F10 C15:G15 C12:F12 C13:F13 C14:F14 C19:F19 C18:F18 C16:F16 C17:F17 H33:H35 H29:H31 H27 H24 H25 H28 F30:G30 F24:G24 F31:G31 F27:G27 C23:H23 C29:G29 C27:E27 C32:H32 C31:E31 C26:H26 C24:E24 C30:E30 C28:G28 C25:G25 G45 G39 H43:H44 H40 H37 H36 H38 H41 F44:G44 F43:G43 F40:G40 F37:G37 F36:G36 F39 F42:H42 F45 F41:G41 F38:G38 H39 H4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220C-E25B-4E65-96BD-53D5CD2D48AE}">
  <dimension ref="A1:F36"/>
  <sheetViews>
    <sheetView workbookViewId="0">
      <selection activeCell="D4" sqref="D4"/>
    </sheetView>
  </sheetViews>
  <sheetFormatPr defaultRowHeight="13.2" x14ac:dyDescent="0.25"/>
  <cols>
    <col min="1" max="1" width="38.88671875" style="94" customWidth="1"/>
    <col min="2" max="2" width="21.44140625" style="94" customWidth="1"/>
    <col min="3" max="3" width="14.6640625" style="94" customWidth="1"/>
    <col min="4" max="6" width="11.44140625" style="94" customWidth="1"/>
    <col min="7" max="16384" width="8.88671875" style="94"/>
  </cols>
  <sheetData>
    <row r="1" spans="1:6" x14ac:dyDescent="0.25">
      <c r="A1" s="94" t="s">
        <v>604</v>
      </c>
    </row>
    <row r="3" spans="1:6" x14ac:dyDescent="0.25">
      <c r="A3" s="107" t="s">
        <v>484</v>
      </c>
      <c r="B3" s="106"/>
      <c r="C3" s="106"/>
      <c r="D3" s="106"/>
    </row>
    <row r="4" spans="1:6" ht="27" thickBot="1" x14ac:dyDescent="0.3">
      <c r="A4" s="108" t="s">
        <v>464</v>
      </c>
      <c r="B4" s="108" t="s">
        <v>465</v>
      </c>
      <c r="C4" s="87" t="s">
        <v>466</v>
      </c>
      <c r="D4" s="87" t="s">
        <v>477</v>
      </c>
      <c r="E4" s="87" t="s">
        <v>350</v>
      </c>
      <c r="F4" s="87" t="s">
        <v>467</v>
      </c>
    </row>
    <row r="5" spans="1:6" s="95" customFormat="1" x14ac:dyDescent="0.25">
      <c r="A5" s="83" t="s">
        <v>468</v>
      </c>
      <c r="B5" s="79" t="s">
        <v>626</v>
      </c>
      <c r="C5" s="79" t="s">
        <v>637</v>
      </c>
      <c r="D5" s="79" t="s">
        <v>616</v>
      </c>
      <c r="E5" s="22" t="s">
        <v>605</v>
      </c>
      <c r="F5" s="22" t="s">
        <v>469</v>
      </c>
    </row>
    <row r="6" spans="1:6" x14ac:dyDescent="0.25">
      <c r="A6" s="83" t="s">
        <v>473</v>
      </c>
      <c r="B6" s="79" t="s">
        <v>627</v>
      </c>
      <c r="C6" s="79" t="s">
        <v>638</v>
      </c>
      <c r="D6" s="79" t="s">
        <v>617</v>
      </c>
      <c r="E6" s="22" t="s">
        <v>606</v>
      </c>
      <c r="F6" s="22"/>
    </row>
    <row r="7" spans="1:6" x14ac:dyDescent="0.25">
      <c r="A7" s="83" t="s">
        <v>498</v>
      </c>
      <c r="B7" s="79" t="s">
        <v>628</v>
      </c>
      <c r="C7" s="79" t="s">
        <v>639</v>
      </c>
      <c r="D7" s="79" t="s">
        <v>618</v>
      </c>
      <c r="E7" s="22" t="s">
        <v>607</v>
      </c>
      <c r="F7" s="113" t="s">
        <v>472</v>
      </c>
    </row>
    <row r="8" spans="1:6" x14ac:dyDescent="0.25">
      <c r="A8" s="83" t="s">
        <v>486</v>
      </c>
      <c r="B8" s="79" t="s">
        <v>629</v>
      </c>
      <c r="C8" s="79" t="s">
        <v>640</v>
      </c>
      <c r="D8" s="79" t="s">
        <v>619</v>
      </c>
      <c r="E8" s="22" t="s">
        <v>608</v>
      </c>
      <c r="F8" s="22" t="s">
        <v>472</v>
      </c>
    </row>
    <row r="9" spans="1:6" x14ac:dyDescent="0.25">
      <c r="A9" s="83" t="s">
        <v>324</v>
      </c>
      <c r="B9" s="79" t="s">
        <v>630</v>
      </c>
      <c r="C9" s="79" t="s">
        <v>641</v>
      </c>
      <c r="D9" s="79" t="s">
        <v>620</v>
      </c>
      <c r="E9" s="79" t="s">
        <v>609</v>
      </c>
      <c r="F9" s="22"/>
    </row>
    <row r="10" spans="1:6" x14ac:dyDescent="0.25">
      <c r="A10" s="83" t="s">
        <v>485</v>
      </c>
      <c r="B10" s="79" t="s">
        <v>631</v>
      </c>
      <c r="C10" s="79" t="s">
        <v>642</v>
      </c>
      <c r="D10" s="22" t="s">
        <v>621</v>
      </c>
      <c r="E10" s="79" t="s">
        <v>611</v>
      </c>
      <c r="F10" s="22"/>
    </row>
    <row r="11" spans="1:6" x14ac:dyDescent="0.25">
      <c r="A11" s="83" t="s">
        <v>349</v>
      </c>
      <c r="B11" s="79" t="s">
        <v>632</v>
      </c>
      <c r="C11" s="79" t="s">
        <v>643</v>
      </c>
      <c r="D11" s="22" t="s">
        <v>458</v>
      </c>
      <c r="E11" s="22" t="s">
        <v>610</v>
      </c>
      <c r="F11" s="22"/>
    </row>
    <row r="12" spans="1:6" x14ac:dyDescent="0.25">
      <c r="A12" s="83" t="s">
        <v>487</v>
      </c>
      <c r="B12" s="79" t="s">
        <v>633</v>
      </c>
      <c r="C12" s="79" t="s">
        <v>644</v>
      </c>
      <c r="D12" s="22" t="s">
        <v>622</v>
      </c>
      <c r="E12" s="22" t="s">
        <v>612</v>
      </c>
      <c r="F12" s="22"/>
    </row>
    <row r="13" spans="1:6" x14ac:dyDescent="0.25">
      <c r="A13" s="83" t="s">
        <v>474</v>
      </c>
      <c r="B13" s="79" t="s">
        <v>634</v>
      </c>
      <c r="C13" s="79" t="s">
        <v>645</v>
      </c>
      <c r="D13" s="79" t="s">
        <v>623</v>
      </c>
      <c r="E13" s="22" t="s">
        <v>613</v>
      </c>
      <c r="F13" s="22"/>
    </row>
    <row r="14" spans="1:6" x14ac:dyDescent="0.25">
      <c r="A14" s="83" t="s">
        <v>475</v>
      </c>
      <c r="B14" s="79" t="s">
        <v>635</v>
      </c>
      <c r="C14" s="79" t="s">
        <v>646</v>
      </c>
      <c r="D14" s="79" t="s">
        <v>624</v>
      </c>
      <c r="E14" s="79" t="s">
        <v>614</v>
      </c>
      <c r="F14" s="22" t="s">
        <v>470</v>
      </c>
    </row>
    <row r="15" spans="1:6" ht="13.8" thickBot="1" x14ac:dyDescent="0.3">
      <c r="A15" s="86" t="s">
        <v>476</v>
      </c>
      <c r="B15" s="81" t="s">
        <v>636</v>
      </c>
      <c r="C15" s="81" t="s">
        <v>647</v>
      </c>
      <c r="D15" s="25" t="s">
        <v>625</v>
      </c>
      <c r="E15" s="25" t="s">
        <v>615</v>
      </c>
      <c r="F15" s="25" t="s">
        <v>471</v>
      </c>
    </row>
    <row r="16" spans="1:6" x14ac:dyDescent="0.25">
      <c r="A16" s="83"/>
      <c r="C16" s="79"/>
      <c r="D16" s="22"/>
      <c r="E16" s="22"/>
      <c r="F16" s="22"/>
    </row>
    <row r="17" spans="1:6" x14ac:dyDescent="0.25">
      <c r="A17" s="107" t="s">
        <v>478</v>
      </c>
      <c r="B17" s="106"/>
      <c r="C17" s="106"/>
      <c r="D17" s="106"/>
    </row>
    <row r="18" spans="1:6" ht="27" thickBot="1" x14ac:dyDescent="0.3">
      <c r="A18" s="108" t="s">
        <v>464</v>
      </c>
      <c r="B18" s="87" t="s">
        <v>479</v>
      </c>
      <c r="C18" s="87" t="s">
        <v>466</v>
      </c>
      <c r="D18" s="87" t="s">
        <v>477</v>
      </c>
      <c r="E18" s="87" t="s">
        <v>350</v>
      </c>
      <c r="F18" s="87" t="s">
        <v>467</v>
      </c>
    </row>
    <row r="19" spans="1:6" x14ac:dyDescent="0.25">
      <c r="A19" s="109" t="s">
        <v>302</v>
      </c>
      <c r="B19" s="110" t="s">
        <v>656</v>
      </c>
      <c r="C19" s="79" t="s">
        <v>501</v>
      </c>
      <c r="D19" s="110" t="s">
        <v>617</v>
      </c>
      <c r="E19" s="110" t="s">
        <v>606</v>
      </c>
      <c r="F19" s="110"/>
    </row>
    <row r="20" spans="1:6" x14ac:dyDescent="0.25">
      <c r="A20" s="83" t="s">
        <v>486</v>
      </c>
      <c r="B20" s="79" t="s">
        <v>657</v>
      </c>
      <c r="C20" s="79" t="s">
        <v>502</v>
      </c>
      <c r="D20" s="22" t="s">
        <v>652</v>
      </c>
      <c r="E20" s="79" t="s">
        <v>648</v>
      </c>
      <c r="F20" s="22"/>
    </row>
    <row r="21" spans="1:6" x14ac:dyDescent="0.25">
      <c r="A21" s="83" t="s">
        <v>324</v>
      </c>
      <c r="B21" s="79" t="s">
        <v>658</v>
      </c>
      <c r="C21" s="79" t="s">
        <v>503</v>
      </c>
      <c r="D21" s="79" t="s">
        <v>653</v>
      </c>
      <c r="E21" s="22" t="s">
        <v>649</v>
      </c>
      <c r="F21" s="22"/>
    </row>
    <row r="22" spans="1:6" x14ac:dyDescent="0.25">
      <c r="A22" s="83" t="s">
        <v>485</v>
      </c>
      <c r="B22" s="79" t="s">
        <v>659</v>
      </c>
      <c r="C22" s="79" t="s">
        <v>504</v>
      </c>
      <c r="D22" s="22" t="s">
        <v>654</v>
      </c>
      <c r="E22" s="22" t="s">
        <v>650</v>
      </c>
      <c r="F22" s="22" t="s">
        <v>472</v>
      </c>
    </row>
    <row r="23" spans="1:6" ht="13.8" thickBot="1" x14ac:dyDescent="0.3">
      <c r="A23" s="86" t="s">
        <v>349</v>
      </c>
      <c r="B23" s="81" t="s">
        <v>660</v>
      </c>
      <c r="C23" s="81" t="s">
        <v>505</v>
      </c>
      <c r="D23" s="81" t="s">
        <v>655</v>
      </c>
      <c r="E23" s="81" t="s">
        <v>651</v>
      </c>
      <c r="F23" s="25" t="s">
        <v>471</v>
      </c>
    </row>
    <row r="24" spans="1:6" x14ac:dyDescent="0.25">
      <c r="A24" s="83"/>
      <c r="C24" s="79"/>
      <c r="D24" s="22"/>
      <c r="E24" s="22"/>
      <c r="F24" s="22"/>
    </row>
    <row r="25" spans="1:6" x14ac:dyDescent="0.25">
      <c r="A25" s="107" t="s">
        <v>480</v>
      </c>
      <c r="B25" s="106"/>
      <c r="C25" s="106"/>
      <c r="D25" s="106"/>
    </row>
    <row r="26" spans="1:6" ht="40.200000000000003" thickBot="1" x14ac:dyDescent="0.3">
      <c r="A26" s="108" t="s">
        <v>482</v>
      </c>
      <c r="B26" s="87" t="s">
        <v>481</v>
      </c>
      <c r="C26" s="87" t="s">
        <v>466</v>
      </c>
      <c r="D26" s="87" t="s">
        <v>477</v>
      </c>
      <c r="E26" s="87" t="s">
        <v>483</v>
      </c>
      <c r="F26" s="87" t="s">
        <v>467</v>
      </c>
    </row>
    <row r="27" spans="1:6" x14ac:dyDescent="0.25">
      <c r="A27" s="111" t="s">
        <v>494</v>
      </c>
      <c r="B27" s="110" t="s">
        <v>661</v>
      </c>
      <c r="C27" s="22" t="s">
        <v>671</v>
      </c>
      <c r="D27" s="110" t="s">
        <v>449</v>
      </c>
      <c r="E27" s="110" t="s">
        <v>690</v>
      </c>
      <c r="F27" s="110"/>
    </row>
    <row r="28" spans="1:6" x14ac:dyDescent="0.25">
      <c r="A28" s="111" t="s">
        <v>495</v>
      </c>
      <c r="B28" s="110" t="s">
        <v>662</v>
      </c>
      <c r="C28" s="22" t="s">
        <v>672</v>
      </c>
      <c r="D28" s="110" t="s">
        <v>681</v>
      </c>
      <c r="E28" s="110" t="s">
        <v>567</v>
      </c>
      <c r="F28" s="110"/>
    </row>
    <row r="29" spans="1:6" x14ac:dyDescent="0.25">
      <c r="A29" s="111" t="s">
        <v>496</v>
      </c>
      <c r="B29" s="110" t="s">
        <v>663</v>
      </c>
      <c r="C29" s="22" t="s">
        <v>673</v>
      </c>
      <c r="D29" s="110" t="s">
        <v>682</v>
      </c>
      <c r="E29" s="110" t="s">
        <v>691</v>
      </c>
      <c r="F29" s="110"/>
    </row>
    <row r="30" spans="1:6" x14ac:dyDescent="0.25">
      <c r="A30" s="111" t="s">
        <v>497</v>
      </c>
      <c r="B30" s="110" t="s">
        <v>664</v>
      </c>
      <c r="C30" s="22" t="s">
        <v>674</v>
      </c>
      <c r="D30" s="110" t="s">
        <v>683</v>
      </c>
      <c r="E30" s="110" t="s">
        <v>692</v>
      </c>
      <c r="F30" s="110" t="s">
        <v>471</v>
      </c>
    </row>
    <row r="31" spans="1:6" x14ac:dyDescent="0.25">
      <c r="A31" s="107" t="s">
        <v>488</v>
      </c>
      <c r="B31" s="22" t="s">
        <v>665</v>
      </c>
      <c r="C31" s="22" t="s">
        <v>675</v>
      </c>
      <c r="D31" s="22" t="s">
        <v>684</v>
      </c>
      <c r="E31" s="110" t="s">
        <v>693</v>
      </c>
      <c r="F31" s="22"/>
    </row>
    <row r="32" spans="1:6" x14ac:dyDescent="0.25">
      <c r="A32" s="107" t="s">
        <v>489</v>
      </c>
      <c r="B32" s="22" t="s">
        <v>666</v>
      </c>
      <c r="C32" s="22" t="s">
        <v>676</v>
      </c>
      <c r="D32" s="22" t="s">
        <v>685</v>
      </c>
      <c r="E32" s="22" t="s">
        <v>694</v>
      </c>
      <c r="F32" s="22"/>
    </row>
    <row r="33" spans="1:6" x14ac:dyDescent="0.25">
      <c r="A33" s="107" t="s">
        <v>493</v>
      </c>
      <c r="B33" s="22" t="s">
        <v>667</v>
      </c>
      <c r="C33" s="22" t="s">
        <v>677</v>
      </c>
      <c r="D33" s="22" t="s">
        <v>686</v>
      </c>
      <c r="E33" s="22" t="s">
        <v>695</v>
      </c>
      <c r="F33" s="22" t="s">
        <v>472</v>
      </c>
    </row>
    <row r="34" spans="1:6" x14ac:dyDescent="0.25">
      <c r="A34" s="107" t="s">
        <v>492</v>
      </c>
      <c r="B34" s="22" t="s">
        <v>668</v>
      </c>
      <c r="C34" s="22" t="s">
        <v>678</v>
      </c>
      <c r="D34" s="22" t="s">
        <v>687</v>
      </c>
      <c r="E34" s="22" t="s">
        <v>696</v>
      </c>
      <c r="F34" s="22" t="s">
        <v>472</v>
      </c>
    </row>
    <row r="35" spans="1:6" x14ac:dyDescent="0.25">
      <c r="A35" s="107" t="s">
        <v>491</v>
      </c>
      <c r="B35" s="22" t="s">
        <v>669</v>
      </c>
      <c r="C35" s="22" t="s">
        <v>679</v>
      </c>
      <c r="D35" s="22" t="s">
        <v>688</v>
      </c>
      <c r="E35" s="22" t="s">
        <v>697</v>
      </c>
      <c r="F35" s="22" t="s">
        <v>471</v>
      </c>
    </row>
    <row r="36" spans="1:6" ht="13.8" thickBot="1" x14ac:dyDescent="0.3">
      <c r="A36" s="112" t="s">
        <v>490</v>
      </c>
      <c r="B36" s="25" t="s">
        <v>670</v>
      </c>
      <c r="C36" s="25" t="s">
        <v>680</v>
      </c>
      <c r="D36" s="25" t="s">
        <v>689</v>
      </c>
      <c r="E36" s="25" t="s">
        <v>698</v>
      </c>
      <c r="F36" s="25" t="s">
        <v>472</v>
      </c>
    </row>
  </sheetData>
  <pageMargins left="0.7" right="0.7" top="0.75" bottom="0.75" header="0.3" footer="0.3"/>
  <ignoredErrors>
    <ignoredError sqref="F19:F21 C19:C23 B5:F18 B19:B23 D22:F23 D19:E21 B26:E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EDEA3-1D62-488C-85F7-8AC12E3711C9}">
  <dimension ref="A1:S36"/>
  <sheetViews>
    <sheetView topLeftCell="A3" workbookViewId="0">
      <selection activeCell="G22" sqref="G22"/>
    </sheetView>
  </sheetViews>
  <sheetFormatPr defaultRowHeight="13.8" x14ac:dyDescent="0.25"/>
  <cols>
    <col min="1" max="3" width="14.21875" style="82" customWidth="1"/>
    <col min="4" max="10" width="10.109375" style="82" customWidth="1"/>
    <col min="11" max="11" width="10.44140625" style="82" bestFit="1" customWidth="1"/>
    <col min="12" max="12" width="9.44140625" style="82" bestFit="1" customWidth="1"/>
    <col min="13" max="16384" width="8.88671875" style="82"/>
  </cols>
  <sheetData>
    <row r="1" spans="1:12" x14ac:dyDescent="0.25">
      <c r="A1" s="7" t="s">
        <v>462</v>
      </c>
    </row>
    <row r="2" spans="1:12" x14ac:dyDescent="0.25">
      <c r="A2" s="7"/>
    </row>
    <row r="3" spans="1:12" x14ac:dyDescent="0.25">
      <c r="A3" s="7" t="s">
        <v>302</v>
      </c>
    </row>
    <row r="4" spans="1:12" ht="40.200000000000003" thickBot="1" x14ac:dyDescent="0.3">
      <c r="A4" s="84" t="s">
        <v>303</v>
      </c>
      <c r="B4" s="84" t="s">
        <v>304</v>
      </c>
      <c r="C4" s="84" t="s">
        <v>305</v>
      </c>
      <c r="D4" s="78" t="s">
        <v>343</v>
      </c>
      <c r="E4" s="78" t="s">
        <v>306</v>
      </c>
      <c r="F4" s="78" t="s">
        <v>350</v>
      </c>
      <c r="G4" s="78" t="s">
        <v>307</v>
      </c>
      <c r="H4" s="78" t="s">
        <v>341</v>
      </c>
      <c r="I4" s="78" t="s">
        <v>342</v>
      </c>
      <c r="J4" s="78" t="s">
        <v>308</v>
      </c>
      <c r="K4" s="78" t="s">
        <v>309</v>
      </c>
      <c r="L4" s="78" t="s">
        <v>310</v>
      </c>
    </row>
    <row r="5" spans="1:12" s="90" customFormat="1" x14ac:dyDescent="0.25">
      <c r="A5" s="73" t="s">
        <v>326</v>
      </c>
      <c r="B5" s="88" t="s">
        <v>325</v>
      </c>
      <c r="C5" s="88" t="s">
        <v>191</v>
      </c>
      <c r="D5" s="89" t="s">
        <v>328</v>
      </c>
      <c r="E5" s="89" t="s">
        <v>332</v>
      </c>
      <c r="F5" s="120">
        <v>2.2999999999999999E-16</v>
      </c>
      <c r="G5" s="89" t="s">
        <v>333</v>
      </c>
      <c r="H5" s="89" t="s">
        <v>312</v>
      </c>
      <c r="I5" s="89" t="s">
        <v>312</v>
      </c>
      <c r="J5" s="102">
        <v>1182830</v>
      </c>
      <c r="K5" s="102">
        <v>1405560</v>
      </c>
      <c r="L5" s="102">
        <v>948639</v>
      </c>
    </row>
    <row r="6" spans="1:12" x14ac:dyDescent="0.25">
      <c r="A6" s="12" t="s">
        <v>325</v>
      </c>
      <c r="B6" s="83" t="s">
        <v>326</v>
      </c>
      <c r="C6" s="83" t="s">
        <v>71</v>
      </c>
      <c r="D6" s="79" t="s">
        <v>329</v>
      </c>
      <c r="E6" s="79">
        <v>1.35</v>
      </c>
      <c r="F6" s="79" t="s">
        <v>338</v>
      </c>
      <c r="G6" s="79" t="s">
        <v>334</v>
      </c>
      <c r="H6" s="79" t="s">
        <v>312</v>
      </c>
      <c r="I6" s="79" t="s">
        <v>312</v>
      </c>
      <c r="J6" s="22">
        <v>1478320</v>
      </c>
      <c r="K6" s="22">
        <v>945189</v>
      </c>
      <c r="L6" s="22">
        <v>927598</v>
      </c>
    </row>
    <row r="7" spans="1:12" s="90" customFormat="1" x14ac:dyDescent="0.25">
      <c r="A7" s="73" t="s">
        <v>191</v>
      </c>
      <c r="B7" s="88" t="s">
        <v>325</v>
      </c>
      <c r="C7" s="88" t="s">
        <v>71</v>
      </c>
      <c r="D7" s="89" t="s">
        <v>330</v>
      </c>
      <c r="E7" s="89">
        <v>3.06</v>
      </c>
      <c r="F7" s="89" t="s">
        <v>339</v>
      </c>
      <c r="G7" s="89" t="s">
        <v>335</v>
      </c>
      <c r="H7" s="89" t="s">
        <v>312</v>
      </c>
      <c r="I7" s="89" t="s">
        <v>312</v>
      </c>
      <c r="J7" s="102">
        <v>1684110</v>
      </c>
      <c r="K7" s="102">
        <v>910658</v>
      </c>
      <c r="L7" s="102">
        <v>867353</v>
      </c>
    </row>
    <row r="8" spans="1:12" s="90" customFormat="1" ht="14.4" thickBot="1" x14ac:dyDescent="0.3">
      <c r="A8" s="91" t="s">
        <v>191</v>
      </c>
      <c r="B8" s="92" t="s">
        <v>326</v>
      </c>
      <c r="C8" s="92" t="s">
        <v>71</v>
      </c>
      <c r="D8" s="93" t="s">
        <v>331</v>
      </c>
      <c r="E8" s="93">
        <v>3.68</v>
      </c>
      <c r="F8" s="93" t="s">
        <v>340</v>
      </c>
      <c r="G8" s="93" t="s">
        <v>336</v>
      </c>
      <c r="H8" s="93" t="s">
        <v>312</v>
      </c>
      <c r="I8" s="93" t="s">
        <v>312</v>
      </c>
      <c r="J8" s="101">
        <v>1318050</v>
      </c>
      <c r="K8" s="101">
        <v>1019110</v>
      </c>
      <c r="L8" s="101">
        <v>958212</v>
      </c>
    </row>
    <row r="9" spans="1:12" x14ac:dyDescent="0.25">
      <c r="A9" s="7"/>
      <c r="B9" s="79"/>
      <c r="C9" s="79"/>
      <c r="D9" s="79"/>
      <c r="E9" s="79"/>
      <c r="F9" s="79"/>
      <c r="G9" s="94"/>
      <c r="H9" s="94"/>
      <c r="I9" s="94"/>
      <c r="J9" s="22"/>
      <c r="K9" s="22"/>
      <c r="L9" s="22"/>
    </row>
    <row r="10" spans="1:12" x14ac:dyDescent="0.25">
      <c r="A10" s="7" t="s">
        <v>301</v>
      </c>
      <c r="B10" s="7"/>
      <c r="C10" s="7"/>
      <c r="D10" s="94"/>
      <c r="E10" s="94"/>
      <c r="F10" s="94"/>
      <c r="G10" s="94"/>
      <c r="H10" s="94"/>
      <c r="I10" s="94"/>
      <c r="J10" s="22"/>
      <c r="K10" s="22"/>
      <c r="L10" s="22"/>
    </row>
    <row r="11" spans="1:12" ht="40.200000000000003" thickBot="1" x14ac:dyDescent="0.3">
      <c r="A11" s="84" t="s">
        <v>303</v>
      </c>
      <c r="B11" s="84" t="s">
        <v>304</v>
      </c>
      <c r="C11" s="84" t="s">
        <v>305</v>
      </c>
      <c r="D11" s="78" t="s">
        <v>343</v>
      </c>
      <c r="E11" s="87" t="s">
        <v>306</v>
      </c>
      <c r="F11" s="87" t="s">
        <v>350</v>
      </c>
      <c r="G11" s="87" t="s">
        <v>307</v>
      </c>
      <c r="H11" s="78" t="s">
        <v>341</v>
      </c>
      <c r="I11" s="78" t="s">
        <v>342</v>
      </c>
      <c r="J11" s="87" t="s">
        <v>308</v>
      </c>
      <c r="K11" s="87" t="s">
        <v>309</v>
      </c>
      <c r="L11" s="87" t="s">
        <v>310</v>
      </c>
    </row>
    <row r="12" spans="1:12" s="90" customFormat="1" x14ac:dyDescent="0.25">
      <c r="A12" s="73" t="s">
        <v>326</v>
      </c>
      <c r="B12" s="88" t="s">
        <v>325</v>
      </c>
      <c r="C12" s="88" t="s">
        <v>191</v>
      </c>
      <c r="D12" s="89">
        <v>0.22700000000000001</v>
      </c>
      <c r="E12" s="89">
        <v>17.600000000000001</v>
      </c>
      <c r="F12" s="120">
        <v>2.2999999999999999E-16</v>
      </c>
      <c r="G12" s="89">
        <v>0.216</v>
      </c>
      <c r="H12" s="120">
        <v>2.2999999999999999E-16</v>
      </c>
      <c r="I12" s="89">
        <v>0.91800000000000004</v>
      </c>
      <c r="J12" s="102">
        <v>59666.8</v>
      </c>
      <c r="K12" s="102">
        <v>86388.4</v>
      </c>
      <c r="L12" s="102">
        <v>54392.3</v>
      </c>
    </row>
    <row r="13" spans="1:12" s="90" customFormat="1" x14ac:dyDescent="0.25">
      <c r="A13" s="73" t="s">
        <v>325</v>
      </c>
      <c r="B13" s="88" t="s">
        <v>326</v>
      </c>
      <c r="C13" s="88" t="s">
        <v>71</v>
      </c>
      <c r="D13" s="89" t="s">
        <v>517</v>
      </c>
      <c r="E13" s="89">
        <v>3.09</v>
      </c>
      <c r="F13" s="89">
        <v>2.0200000000000001E-3</v>
      </c>
      <c r="G13" s="89" t="s">
        <v>518</v>
      </c>
      <c r="H13" s="120">
        <v>2.2999999999999999E-16</v>
      </c>
      <c r="I13" s="89">
        <v>8.3900000000000002E-2</v>
      </c>
      <c r="J13" s="102">
        <v>78965.3</v>
      </c>
      <c r="K13" s="102">
        <v>54377.599999999999</v>
      </c>
      <c r="L13" s="102">
        <v>53847.199999999997</v>
      </c>
    </row>
    <row r="14" spans="1:12" x14ac:dyDescent="0.25">
      <c r="A14" s="12" t="s">
        <v>191</v>
      </c>
      <c r="B14" s="83" t="s">
        <v>325</v>
      </c>
      <c r="C14" s="83" t="s">
        <v>71</v>
      </c>
      <c r="D14" s="79">
        <v>3.3500000000000001E-3</v>
      </c>
      <c r="E14" s="79">
        <v>0.95299999999999996</v>
      </c>
      <c r="F14" s="79">
        <v>0.34100000000000003</v>
      </c>
      <c r="G14" s="79">
        <v>1.17E-3</v>
      </c>
      <c r="H14" s="121">
        <v>2.2999999999999999E-16</v>
      </c>
      <c r="I14" s="79" t="s">
        <v>520</v>
      </c>
      <c r="J14" s="22">
        <v>100651</v>
      </c>
      <c r="K14" s="22">
        <v>48811.6</v>
      </c>
      <c r="L14" s="22">
        <v>48485.4</v>
      </c>
    </row>
    <row r="15" spans="1:12" ht="14.4" thickBot="1" x14ac:dyDescent="0.3">
      <c r="A15" s="85" t="s">
        <v>191</v>
      </c>
      <c r="B15" s="86" t="s">
        <v>326</v>
      </c>
      <c r="C15" s="86" t="s">
        <v>71</v>
      </c>
      <c r="D15" s="81">
        <v>7.7400000000000004E-3</v>
      </c>
      <c r="E15" s="81">
        <v>1.87</v>
      </c>
      <c r="F15" s="81">
        <v>6.1899999999999997E-2</v>
      </c>
      <c r="G15" s="81" t="s">
        <v>519</v>
      </c>
      <c r="H15" s="122">
        <v>2.2999999999999999E-16</v>
      </c>
      <c r="I15" s="81" t="s">
        <v>521</v>
      </c>
      <c r="J15" s="25">
        <v>75055.899999999994</v>
      </c>
      <c r="K15" s="25">
        <v>55742.8</v>
      </c>
      <c r="L15" s="25">
        <v>54886.2</v>
      </c>
    </row>
    <row r="16" spans="1:12" x14ac:dyDescent="0.25">
      <c r="A16" s="7"/>
      <c r="B16" s="7"/>
      <c r="C16" s="7"/>
      <c r="D16" s="94"/>
      <c r="E16" s="94"/>
      <c r="F16" s="94"/>
      <c r="G16" s="94"/>
      <c r="H16" s="94"/>
      <c r="I16" s="94"/>
      <c r="J16" s="22"/>
      <c r="K16" s="22"/>
      <c r="L16" s="22"/>
    </row>
    <row r="17" spans="1:19" x14ac:dyDescent="0.25">
      <c r="A17" s="7" t="s">
        <v>311</v>
      </c>
      <c r="B17" s="7"/>
      <c r="C17" s="7"/>
      <c r="D17" s="94"/>
      <c r="E17" s="94"/>
      <c r="F17" s="94"/>
      <c r="G17" s="94"/>
      <c r="H17" s="94"/>
      <c r="I17" s="94"/>
      <c r="J17" s="22"/>
      <c r="K17" s="22"/>
      <c r="L17" s="22"/>
    </row>
    <row r="18" spans="1:19" ht="40.200000000000003" thickBot="1" x14ac:dyDescent="0.3">
      <c r="A18" s="84" t="s">
        <v>303</v>
      </c>
      <c r="B18" s="84" t="s">
        <v>304</v>
      </c>
      <c r="C18" s="84" t="s">
        <v>305</v>
      </c>
      <c r="D18" s="78" t="s">
        <v>343</v>
      </c>
      <c r="E18" s="87" t="s">
        <v>306</v>
      </c>
      <c r="F18" s="87" t="s">
        <v>350</v>
      </c>
      <c r="G18" s="87" t="s">
        <v>307</v>
      </c>
      <c r="H18" s="78" t="s">
        <v>341</v>
      </c>
      <c r="I18" s="78" t="s">
        <v>342</v>
      </c>
      <c r="J18" s="87" t="s">
        <v>308</v>
      </c>
      <c r="K18" s="87" t="s">
        <v>309</v>
      </c>
      <c r="L18" s="87" t="s">
        <v>310</v>
      </c>
    </row>
    <row r="19" spans="1:19" s="90" customFormat="1" x14ac:dyDescent="0.25">
      <c r="A19" s="73" t="s">
        <v>326</v>
      </c>
      <c r="B19" s="88" t="s">
        <v>325</v>
      </c>
      <c r="C19" s="88" t="s">
        <v>191</v>
      </c>
      <c r="D19" s="89">
        <v>0.53900000000000003</v>
      </c>
      <c r="E19" s="89">
        <v>13.9</v>
      </c>
      <c r="F19" s="120">
        <v>2.2999999999999999E-16</v>
      </c>
      <c r="G19" s="89">
        <v>0.27200000000000002</v>
      </c>
      <c r="H19" s="120">
        <v>2.2999999999999999E-16</v>
      </c>
      <c r="I19" s="120">
        <v>2.2999999999999999E-16</v>
      </c>
      <c r="J19" s="102">
        <v>108312</v>
      </c>
      <c r="K19" s="102">
        <v>150540</v>
      </c>
      <c r="L19" s="102">
        <v>45100.9</v>
      </c>
      <c r="P19" s="118"/>
      <c r="R19" s="118"/>
      <c r="S19" s="118"/>
    </row>
    <row r="20" spans="1:19" s="90" customFormat="1" x14ac:dyDescent="0.25">
      <c r="A20" s="73" t="s">
        <v>325</v>
      </c>
      <c r="B20" s="88" t="s">
        <v>326</v>
      </c>
      <c r="C20" s="88" t="s">
        <v>71</v>
      </c>
      <c r="D20" s="89">
        <v>6.3700000000000007E-2</v>
      </c>
      <c r="E20" s="89">
        <v>4.6100000000000003</v>
      </c>
      <c r="F20" s="89" t="s">
        <v>522</v>
      </c>
      <c r="G20" s="89">
        <v>1.7399999999999999E-2</v>
      </c>
      <c r="H20" s="120">
        <v>2.2999999999999999E-16</v>
      </c>
      <c r="I20" s="120">
        <v>2.2999999999999999E-16</v>
      </c>
      <c r="J20" s="102">
        <v>165565</v>
      </c>
      <c r="K20" s="102">
        <v>65774.8</v>
      </c>
      <c r="L20" s="102">
        <v>57901</v>
      </c>
      <c r="P20" s="118"/>
      <c r="R20" s="118"/>
      <c r="S20" s="118"/>
    </row>
    <row r="21" spans="1:19" x14ac:dyDescent="0.25">
      <c r="A21" s="73" t="s">
        <v>191</v>
      </c>
      <c r="B21" s="88" t="s">
        <v>325</v>
      </c>
      <c r="C21" s="88" t="s">
        <v>71</v>
      </c>
      <c r="D21" s="89">
        <v>8.7499999999999994E-2</v>
      </c>
      <c r="E21" s="89">
        <v>2.96</v>
      </c>
      <c r="F21" s="89">
        <v>3.13E-3</v>
      </c>
      <c r="G21" s="89">
        <v>2.0299999999999999E-2</v>
      </c>
      <c r="H21" s="120">
        <v>2.2999999999999999E-16</v>
      </c>
      <c r="I21" s="120">
        <v>2.2999999999999999E-16</v>
      </c>
      <c r="J21" s="102">
        <v>208329</v>
      </c>
      <c r="K21" s="102">
        <v>58437.599999999999</v>
      </c>
      <c r="L21" s="102">
        <v>49031.199999999997</v>
      </c>
      <c r="R21" s="119"/>
      <c r="S21" s="119"/>
    </row>
    <row r="22" spans="1:19" s="90" customFormat="1" ht="14.4" thickBot="1" x14ac:dyDescent="0.3">
      <c r="A22" s="91" t="s">
        <v>191</v>
      </c>
      <c r="B22" s="92" t="s">
        <v>326</v>
      </c>
      <c r="C22" s="92" t="s">
        <v>71</v>
      </c>
      <c r="D22" s="93">
        <v>0.114</v>
      </c>
      <c r="E22" s="93">
        <v>3.99</v>
      </c>
      <c r="F22" s="93" t="s">
        <v>523</v>
      </c>
      <c r="G22" s="93">
        <v>3.73E-2</v>
      </c>
      <c r="H22" s="123">
        <v>2.2999999999999999E-16</v>
      </c>
      <c r="I22" s="123">
        <v>2.2999999999999999E-16</v>
      </c>
      <c r="J22" s="101">
        <v>120927</v>
      </c>
      <c r="K22" s="101">
        <v>84348.4</v>
      </c>
      <c r="L22" s="101">
        <v>67068.2</v>
      </c>
      <c r="P22" s="118"/>
      <c r="R22" s="118"/>
      <c r="S22" s="118"/>
    </row>
    <row r="23" spans="1:19" x14ac:dyDescent="0.25">
      <c r="A23" s="7"/>
      <c r="B23" s="7"/>
      <c r="C23" s="7"/>
      <c r="D23" s="94"/>
      <c r="E23" s="94"/>
      <c r="F23" s="94"/>
      <c r="G23" s="94"/>
      <c r="H23" s="94"/>
      <c r="I23" s="94"/>
      <c r="J23" s="22"/>
      <c r="K23" s="22"/>
      <c r="L23" s="22"/>
    </row>
    <row r="24" spans="1:19" x14ac:dyDescent="0.25">
      <c r="A24" s="7" t="s">
        <v>323</v>
      </c>
      <c r="B24" s="7"/>
      <c r="C24" s="7"/>
      <c r="D24" s="94"/>
      <c r="E24" s="94"/>
      <c r="F24" s="94"/>
      <c r="G24" s="94"/>
      <c r="H24" s="94"/>
      <c r="I24" s="94"/>
      <c r="J24" s="22"/>
      <c r="K24" s="22"/>
      <c r="L24" s="22"/>
    </row>
    <row r="25" spans="1:19" ht="40.200000000000003" thickBot="1" x14ac:dyDescent="0.3">
      <c r="A25" s="84" t="s">
        <v>303</v>
      </c>
      <c r="B25" s="84" t="s">
        <v>304</v>
      </c>
      <c r="C25" s="84" t="s">
        <v>305</v>
      </c>
      <c r="D25" s="78" t="s">
        <v>343</v>
      </c>
      <c r="E25" s="87" t="s">
        <v>306</v>
      </c>
      <c r="F25" s="87" t="s">
        <v>350</v>
      </c>
      <c r="G25" s="87" t="s">
        <v>307</v>
      </c>
      <c r="H25" s="78" t="s">
        <v>341</v>
      </c>
      <c r="I25" s="78" t="s">
        <v>342</v>
      </c>
      <c r="J25" s="87" t="s">
        <v>308</v>
      </c>
      <c r="K25" s="87" t="s">
        <v>309</v>
      </c>
      <c r="L25" s="87" t="s">
        <v>310</v>
      </c>
    </row>
    <row r="26" spans="1:19" s="90" customFormat="1" x14ac:dyDescent="0.25">
      <c r="A26" s="73" t="s">
        <v>326</v>
      </c>
      <c r="B26" s="88" t="s">
        <v>325</v>
      </c>
      <c r="C26" s="88" t="s">
        <v>191</v>
      </c>
      <c r="D26" s="89">
        <v>0.32400000000000001</v>
      </c>
      <c r="E26" s="89">
        <v>22.9</v>
      </c>
      <c r="F26" s="120">
        <v>2.2999999999999999E-16</v>
      </c>
      <c r="G26" s="89" t="s">
        <v>527</v>
      </c>
      <c r="H26" s="120">
        <v>2.2999999999999999E-16</v>
      </c>
      <c r="I26" s="89" t="s">
        <v>530</v>
      </c>
      <c r="J26" s="102">
        <v>99621.7</v>
      </c>
      <c r="K26" s="102">
        <v>95994.3</v>
      </c>
      <c r="L26" s="102">
        <v>49043.6</v>
      </c>
      <c r="P26" s="118"/>
      <c r="R26" s="118"/>
    </row>
    <row r="27" spans="1:19" s="90" customFormat="1" x14ac:dyDescent="0.25">
      <c r="A27" s="73" t="s">
        <v>325</v>
      </c>
      <c r="B27" s="88" t="s">
        <v>326</v>
      </c>
      <c r="C27" s="88" t="s">
        <v>71</v>
      </c>
      <c r="D27" s="89">
        <v>1.6500000000000001E-2</v>
      </c>
      <c r="E27" s="89" t="s">
        <v>524</v>
      </c>
      <c r="F27" s="89" t="s">
        <v>500</v>
      </c>
      <c r="G27" s="89" t="s">
        <v>528</v>
      </c>
      <c r="H27" s="120">
        <v>2.2999999999999999E-16</v>
      </c>
      <c r="I27" s="89" t="s">
        <v>531</v>
      </c>
      <c r="J27" s="102">
        <v>113834</v>
      </c>
      <c r="K27" s="102">
        <v>58568.800000000003</v>
      </c>
      <c r="L27" s="102">
        <v>56663.3</v>
      </c>
      <c r="R27" s="118"/>
      <c r="S27" s="118"/>
    </row>
    <row r="28" spans="1:19" s="90" customFormat="1" x14ac:dyDescent="0.25">
      <c r="A28" s="73" t="s">
        <v>191</v>
      </c>
      <c r="B28" s="88" t="s">
        <v>325</v>
      </c>
      <c r="C28" s="88" t="s">
        <v>71</v>
      </c>
      <c r="D28" s="89">
        <v>5.6399999999999999E-2</v>
      </c>
      <c r="E28" s="89">
        <v>4.66</v>
      </c>
      <c r="F28" s="89" t="s">
        <v>526</v>
      </c>
      <c r="G28" s="89" t="s">
        <v>529</v>
      </c>
      <c r="H28" s="120">
        <v>2.2999999999999999E-16</v>
      </c>
      <c r="I28" s="89" t="s">
        <v>532</v>
      </c>
      <c r="J28" s="102">
        <v>116634</v>
      </c>
      <c r="K28" s="102">
        <v>63090.7</v>
      </c>
      <c r="L28" s="102">
        <v>56359.6</v>
      </c>
      <c r="P28" s="118"/>
      <c r="R28" s="118"/>
      <c r="S28" s="118"/>
    </row>
    <row r="29" spans="1:19" s="90" customFormat="1" ht="14.4" thickBot="1" x14ac:dyDescent="0.3">
      <c r="A29" s="91" t="s">
        <v>191</v>
      </c>
      <c r="B29" s="92" t="s">
        <v>326</v>
      </c>
      <c r="C29" s="92" t="s">
        <v>71</v>
      </c>
      <c r="D29" s="93">
        <v>6.1199999999999997E-2</v>
      </c>
      <c r="E29" s="93">
        <v>4.41</v>
      </c>
      <c r="F29" s="93" t="s">
        <v>525</v>
      </c>
      <c r="G29" s="93" t="s">
        <v>337</v>
      </c>
      <c r="H29" s="123">
        <v>2.2999999999999999E-16</v>
      </c>
      <c r="I29" s="123">
        <v>2.2999999999999999E-16</v>
      </c>
      <c r="J29" s="101">
        <v>79525.3</v>
      </c>
      <c r="K29" s="101">
        <v>74838.2</v>
      </c>
      <c r="L29" s="101">
        <v>66201.5</v>
      </c>
      <c r="P29" s="118"/>
      <c r="R29" s="118"/>
      <c r="S29" s="118"/>
    </row>
    <row r="30" spans="1:19" x14ac:dyDescent="0.25">
      <c r="A30" s="7"/>
      <c r="B30" s="7"/>
      <c r="C30" s="7"/>
      <c r="D30" s="94"/>
      <c r="E30" s="94"/>
      <c r="F30" s="94"/>
      <c r="G30" s="94"/>
      <c r="H30" s="94"/>
      <c r="I30" s="94"/>
      <c r="J30" s="22"/>
      <c r="K30" s="22"/>
      <c r="L30" s="22"/>
    </row>
    <row r="31" spans="1:19" x14ac:dyDescent="0.25">
      <c r="A31" s="7" t="s">
        <v>324</v>
      </c>
      <c r="B31" s="7"/>
      <c r="C31" s="7"/>
      <c r="D31" s="94"/>
      <c r="E31" s="94"/>
      <c r="F31" s="94"/>
      <c r="G31" s="94"/>
      <c r="H31" s="94"/>
      <c r="I31" s="94"/>
      <c r="J31" s="22"/>
      <c r="K31" s="22"/>
      <c r="L31" s="22"/>
    </row>
    <row r="32" spans="1:19" ht="40.200000000000003" thickBot="1" x14ac:dyDescent="0.3">
      <c r="A32" s="84" t="s">
        <v>303</v>
      </c>
      <c r="B32" s="84" t="s">
        <v>304</v>
      </c>
      <c r="C32" s="84" t="s">
        <v>305</v>
      </c>
      <c r="D32" s="78" t="s">
        <v>343</v>
      </c>
      <c r="E32" s="87" t="s">
        <v>306</v>
      </c>
      <c r="F32" s="87" t="s">
        <v>350</v>
      </c>
      <c r="G32" s="87" t="s">
        <v>307</v>
      </c>
      <c r="H32" s="78" t="s">
        <v>341</v>
      </c>
      <c r="I32" s="78" t="s">
        <v>342</v>
      </c>
      <c r="J32" s="87" t="s">
        <v>308</v>
      </c>
      <c r="K32" s="87" t="s">
        <v>309</v>
      </c>
      <c r="L32" s="87" t="s">
        <v>310</v>
      </c>
    </row>
    <row r="33" spans="1:19" s="90" customFormat="1" x14ac:dyDescent="0.25">
      <c r="A33" s="73" t="s">
        <v>326</v>
      </c>
      <c r="B33" s="88" t="s">
        <v>325</v>
      </c>
      <c r="C33" s="88" t="s">
        <v>191</v>
      </c>
      <c r="D33" s="89">
        <v>0.39300000000000002</v>
      </c>
      <c r="E33" s="89">
        <v>39</v>
      </c>
      <c r="F33" s="120">
        <v>2.2999999999999999E-16</v>
      </c>
      <c r="G33" s="89" t="s">
        <v>536</v>
      </c>
      <c r="H33" s="120">
        <v>2.2999999999999999E-16</v>
      </c>
      <c r="I33" s="89" t="s">
        <v>537</v>
      </c>
      <c r="J33" s="102">
        <v>104316</v>
      </c>
      <c r="K33" s="102">
        <v>142071</v>
      </c>
      <c r="L33" s="102">
        <v>61948</v>
      </c>
      <c r="P33" s="118"/>
      <c r="R33" s="118"/>
    </row>
    <row r="34" spans="1:19" s="90" customFormat="1" x14ac:dyDescent="0.25">
      <c r="A34" s="73" t="s">
        <v>325</v>
      </c>
      <c r="B34" s="88" t="s">
        <v>326</v>
      </c>
      <c r="C34" s="88" t="s">
        <v>71</v>
      </c>
      <c r="D34" s="89">
        <v>2.4199999999999999E-2</v>
      </c>
      <c r="E34" s="89">
        <v>6.47</v>
      </c>
      <c r="F34" s="89" t="s">
        <v>533</v>
      </c>
      <c r="G34" s="89">
        <v>7.7200000000000003E-3</v>
      </c>
      <c r="H34" s="120">
        <v>2.2999999999999999E-16</v>
      </c>
      <c r="I34" s="89" t="s">
        <v>538</v>
      </c>
      <c r="J34" s="102">
        <v>131565</v>
      </c>
      <c r="K34" s="102">
        <v>75667.899999999994</v>
      </c>
      <c r="L34" s="102">
        <v>72099.100000000006</v>
      </c>
      <c r="P34" s="118"/>
      <c r="R34" s="118"/>
      <c r="S34" s="118"/>
    </row>
    <row r="35" spans="1:19" s="90" customFormat="1" x14ac:dyDescent="0.25">
      <c r="A35" s="73" t="s">
        <v>191</v>
      </c>
      <c r="B35" s="88" t="s">
        <v>325</v>
      </c>
      <c r="C35" s="88" t="s">
        <v>71</v>
      </c>
      <c r="D35" s="89">
        <v>4.1700000000000001E-2</v>
      </c>
      <c r="E35" s="89">
        <v>7.34</v>
      </c>
      <c r="F35" s="89" t="s">
        <v>534</v>
      </c>
      <c r="G35" s="89">
        <v>1.18E-2</v>
      </c>
      <c r="H35" s="120">
        <v>2.2999999999999999E-16</v>
      </c>
      <c r="I35" s="89" t="s">
        <v>539</v>
      </c>
      <c r="J35" s="102">
        <v>166023</v>
      </c>
      <c r="K35" s="102">
        <v>68801.100000000006</v>
      </c>
      <c r="L35" s="102">
        <v>63287.5</v>
      </c>
      <c r="P35" s="118"/>
      <c r="R35" s="118"/>
      <c r="S35" s="118"/>
    </row>
    <row r="36" spans="1:19" s="90" customFormat="1" ht="14.4" thickBot="1" x14ac:dyDescent="0.3">
      <c r="A36" s="91" t="s">
        <v>191</v>
      </c>
      <c r="B36" s="92" t="s">
        <v>326</v>
      </c>
      <c r="C36" s="92" t="s">
        <v>71</v>
      </c>
      <c r="D36" s="93">
        <v>5.4699999999999999E-2</v>
      </c>
      <c r="E36" s="93">
        <v>8.01</v>
      </c>
      <c r="F36" s="93" t="s">
        <v>535</v>
      </c>
      <c r="G36" s="93">
        <v>1.9400000000000001E-2</v>
      </c>
      <c r="H36" s="123">
        <v>2.2999999999999999E-16</v>
      </c>
      <c r="I36" s="93" t="s">
        <v>540</v>
      </c>
      <c r="J36" s="101">
        <v>101049</v>
      </c>
      <c r="K36" s="101">
        <v>87519.2</v>
      </c>
      <c r="L36" s="101">
        <v>78436.800000000003</v>
      </c>
      <c r="P36" s="118"/>
      <c r="R36" s="118"/>
      <c r="S36" s="118"/>
    </row>
  </sheetData>
  <pageMargins left="0.7" right="0.7" top="0.75" bottom="0.75" header="0.3" footer="0.3"/>
  <ignoredErrors>
    <ignoredError sqref="D6:E10 D16:E17 E11 D23:E24 E18 D30:E31 E25 E32 D5:E5 G5:I5 G32 G25 G18 G11 F30:I31 F23:I24 F16:I17 F6:I10 F4:M4 F12:M12 J6:M10 F19:M20 J16:M17 F26:M29 J23:M24 F33:M36 J30:M31 F11 H11:M11 F18 H18:M18 F25 H25:M25 F32 H32:M32 F5 J5:M5 E27 D13 F22:M22 F21:L21 F14:M15 F13 H13:M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1580-15B7-4B7C-A268-6381FCA8DC03}">
  <dimension ref="A1:G48"/>
  <sheetViews>
    <sheetView topLeftCell="A12" workbookViewId="0">
      <selection activeCell="D49" sqref="D49"/>
    </sheetView>
  </sheetViews>
  <sheetFormatPr defaultRowHeight="14.4" x14ac:dyDescent="0.3"/>
  <cols>
    <col min="1" max="1" width="11.109375" customWidth="1"/>
    <col min="2" max="2" width="34.33203125" customWidth="1"/>
    <col min="3" max="7" width="23.88671875" customWidth="1"/>
  </cols>
  <sheetData>
    <row r="1" spans="1:7" x14ac:dyDescent="0.3">
      <c r="A1" s="7" t="s">
        <v>463</v>
      </c>
      <c r="B1" s="10"/>
      <c r="C1" s="10"/>
      <c r="D1" s="10"/>
      <c r="E1" s="10"/>
      <c r="F1" s="10"/>
      <c r="G1" s="10"/>
    </row>
    <row r="2" spans="1:7" x14ac:dyDescent="0.3">
      <c r="A2" s="7"/>
      <c r="B2" s="10"/>
      <c r="C2" s="10"/>
      <c r="D2" s="10"/>
      <c r="E2" s="10"/>
      <c r="F2" s="10"/>
      <c r="G2" s="10"/>
    </row>
    <row r="3" spans="1:7" x14ac:dyDescent="0.3">
      <c r="A3" s="7" t="s">
        <v>302</v>
      </c>
      <c r="B3" s="10"/>
      <c r="C3" s="10"/>
      <c r="D3" s="10"/>
      <c r="E3" s="10"/>
      <c r="F3" s="10"/>
      <c r="G3" s="10"/>
    </row>
    <row r="4" spans="1:7" ht="15" thickBot="1" x14ac:dyDescent="0.35">
      <c r="A4" s="97" t="s">
        <v>321</v>
      </c>
      <c r="B4" s="97" t="s">
        <v>322</v>
      </c>
      <c r="C4" s="98" t="s">
        <v>313</v>
      </c>
      <c r="D4" s="98" t="s">
        <v>71</v>
      </c>
      <c r="E4" s="98" t="s">
        <v>191</v>
      </c>
      <c r="F4" s="98" t="s">
        <v>325</v>
      </c>
      <c r="G4" s="98" t="s">
        <v>326</v>
      </c>
    </row>
    <row r="5" spans="1:7" x14ac:dyDescent="0.3">
      <c r="A5" s="7" t="s">
        <v>314</v>
      </c>
      <c r="B5" s="7" t="s">
        <v>327</v>
      </c>
      <c r="C5" s="8" t="s">
        <v>315</v>
      </c>
      <c r="D5" s="8" t="s">
        <v>315</v>
      </c>
      <c r="E5" s="8" t="s">
        <v>315</v>
      </c>
      <c r="F5" s="8" t="s">
        <v>315</v>
      </c>
      <c r="G5" s="8" t="s">
        <v>315</v>
      </c>
    </row>
    <row r="6" spans="1:7" x14ac:dyDescent="0.3">
      <c r="A6" s="7" t="s">
        <v>316</v>
      </c>
      <c r="B6" s="7" t="s">
        <v>71</v>
      </c>
      <c r="C6" s="8" t="s">
        <v>315</v>
      </c>
      <c r="D6" s="8" t="s">
        <v>315</v>
      </c>
      <c r="E6" s="8" t="s">
        <v>315</v>
      </c>
      <c r="F6" s="8" t="s">
        <v>315</v>
      </c>
      <c r="G6" s="8" t="s">
        <v>315</v>
      </c>
    </row>
    <row r="7" spans="1:7" x14ac:dyDescent="0.3">
      <c r="A7" s="7" t="s">
        <v>317</v>
      </c>
      <c r="B7" s="7" t="s">
        <v>699</v>
      </c>
      <c r="C7" s="8" t="s">
        <v>315</v>
      </c>
      <c r="D7" s="8">
        <v>8.8299999999999993E-3</v>
      </c>
      <c r="E7" s="8" t="s">
        <v>315</v>
      </c>
      <c r="F7" s="8" t="s">
        <v>315</v>
      </c>
      <c r="G7" s="8" t="s">
        <v>315</v>
      </c>
    </row>
    <row r="8" spans="1:7" x14ac:dyDescent="0.3">
      <c r="A8" s="7" t="s">
        <v>318</v>
      </c>
      <c r="B8" s="7" t="s">
        <v>191</v>
      </c>
      <c r="C8" s="8" t="s">
        <v>315</v>
      </c>
      <c r="D8" s="8">
        <v>0</v>
      </c>
      <c r="E8" s="8" t="s">
        <v>315</v>
      </c>
      <c r="F8" s="8" t="s">
        <v>315</v>
      </c>
      <c r="G8" s="8" t="s">
        <v>315</v>
      </c>
    </row>
    <row r="9" spans="1:7" x14ac:dyDescent="0.3">
      <c r="A9" s="7" t="s">
        <v>319</v>
      </c>
      <c r="B9" s="7" t="s">
        <v>325</v>
      </c>
      <c r="C9" s="8" t="s">
        <v>315</v>
      </c>
      <c r="D9" s="8">
        <v>0</v>
      </c>
      <c r="E9" s="8">
        <v>0.16600000000000001</v>
      </c>
      <c r="F9" s="8" t="s">
        <v>315</v>
      </c>
      <c r="G9" s="8" t="s">
        <v>315</v>
      </c>
    </row>
    <row r="10" spans="1:7" ht="15" thickBot="1" x14ac:dyDescent="0.35">
      <c r="A10" s="80" t="s">
        <v>320</v>
      </c>
      <c r="B10" s="80" t="s">
        <v>326</v>
      </c>
      <c r="C10" s="19" t="s">
        <v>315</v>
      </c>
      <c r="D10" s="19">
        <v>0</v>
      </c>
      <c r="E10" s="19">
        <v>0</v>
      </c>
      <c r="F10" s="19" t="s">
        <v>315</v>
      </c>
      <c r="G10" s="19" t="s">
        <v>315</v>
      </c>
    </row>
    <row r="11" spans="1:7" x14ac:dyDescent="0.3">
      <c r="A11" s="7"/>
      <c r="B11" s="79"/>
      <c r="C11" s="79"/>
      <c r="D11" s="79"/>
      <c r="E11" s="8"/>
      <c r="F11" s="8"/>
      <c r="G11" s="99"/>
    </row>
    <row r="12" spans="1:7" x14ac:dyDescent="0.3">
      <c r="A12" s="7" t="s">
        <v>301</v>
      </c>
      <c r="B12" s="10"/>
      <c r="C12" s="99"/>
      <c r="D12" s="99"/>
      <c r="E12" s="99"/>
      <c r="F12" s="99"/>
      <c r="G12" s="99"/>
    </row>
    <row r="13" spans="1:7" ht="15" thickBot="1" x14ac:dyDescent="0.35">
      <c r="A13" s="97" t="s">
        <v>321</v>
      </c>
      <c r="B13" s="97" t="s">
        <v>322</v>
      </c>
      <c r="C13" s="98" t="s">
        <v>313</v>
      </c>
      <c r="D13" s="98" t="s">
        <v>71</v>
      </c>
      <c r="E13" s="98" t="s">
        <v>191</v>
      </c>
      <c r="F13" s="98" t="s">
        <v>325</v>
      </c>
      <c r="G13" s="98" t="s">
        <v>326</v>
      </c>
    </row>
    <row r="14" spans="1:7" x14ac:dyDescent="0.3">
      <c r="A14" s="7" t="s">
        <v>314</v>
      </c>
      <c r="B14" s="7" t="s">
        <v>327</v>
      </c>
      <c r="C14" s="8" t="s">
        <v>315</v>
      </c>
      <c r="D14" s="79" t="s">
        <v>315</v>
      </c>
      <c r="E14" s="79" t="s">
        <v>315</v>
      </c>
      <c r="F14" s="8" t="s">
        <v>315</v>
      </c>
      <c r="G14" s="8" t="s">
        <v>315</v>
      </c>
    </row>
    <row r="15" spans="1:7" x14ac:dyDescent="0.3">
      <c r="A15" s="7" t="s">
        <v>316</v>
      </c>
      <c r="B15" s="7" t="s">
        <v>71</v>
      </c>
      <c r="C15" s="8" t="s">
        <v>315</v>
      </c>
      <c r="D15" s="79" t="s">
        <v>315</v>
      </c>
      <c r="E15" s="79" t="s">
        <v>315</v>
      </c>
      <c r="F15" s="8" t="s">
        <v>315</v>
      </c>
      <c r="G15" s="8" t="s">
        <v>315</v>
      </c>
    </row>
    <row r="16" spans="1:7" x14ac:dyDescent="0.3">
      <c r="A16" s="7" t="s">
        <v>317</v>
      </c>
      <c r="B16" s="7" t="s">
        <v>699</v>
      </c>
      <c r="C16" s="8" t="s">
        <v>315</v>
      </c>
      <c r="D16" s="79">
        <v>0</v>
      </c>
      <c r="E16" s="79" t="s">
        <v>315</v>
      </c>
      <c r="F16" s="8" t="s">
        <v>315</v>
      </c>
      <c r="G16" s="8" t="s">
        <v>315</v>
      </c>
    </row>
    <row r="17" spans="1:7" x14ac:dyDescent="0.3">
      <c r="A17" s="7" t="s">
        <v>318</v>
      </c>
      <c r="B17" s="7" t="s">
        <v>191</v>
      </c>
      <c r="C17" s="8" t="s">
        <v>315</v>
      </c>
      <c r="D17" s="79">
        <v>0</v>
      </c>
      <c r="E17" s="79" t="s">
        <v>315</v>
      </c>
      <c r="F17" s="8" t="s">
        <v>315</v>
      </c>
      <c r="G17" s="8" t="s">
        <v>315</v>
      </c>
    </row>
    <row r="18" spans="1:7" x14ac:dyDescent="0.3">
      <c r="A18" s="7" t="s">
        <v>319</v>
      </c>
      <c r="B18" s="7" t="s">
        <v>325</v>
      </c>
      <c r="C18" s="8" t="s">
        <v>315</v>
      </c>
      <c r="D18" s="79">
        <v>0</v>
      </c>
      <c r="E18" s="79">
        <v>0.216</v>
      </c>
      <c r="F18" s="8" t="s">
        <v>315</v>
      </c>
      <c r="G18" s="8" t="s">
        <v>315</v>
      </c>
    </row>
    <row r="19" spans="1:7" ht="15" thickBot="1" x14ac:dyDescent="0.35">
      <c r="A19" s="80" t="s">
        <v>320</v>
      </c>
      <c r="B19" s="80" t="s">
        <v>326</v>
      </c>
      <c r="C19" s="19" t="s">
        <v>315</v>
      </c>
      <c r="D19" s="81" t="s">
        <v>518</v>
      </c>
      <c r="E19" s="81">
        <v>0</v>
      </c>
      <c r="F19" s="19" t="s">
        <v>315</v>
      </c>
      <c r="G19" s="19" t="s">
        <v>315</v>
      </c>
    </row>
    <row r="20" spans="1:7" x14ac:dyDescent="0.3">
      <c r="A20" s="10"/>
      <c r="B20" s="10"/>
      <c r="C20" s="99"/>
      <c r="D20" s="99"/>
      <c r="E20" s="99"/>
      <c r="F20" s="99"/>
      <c r="G20" s="99"/>
    </row>
    <row r="21" spans="1:7" x14ac:dyDescent="0.3">
      <c r="A21" s="7" t="s">
        <v>311</v>
      </c>
      <c r="B21" s="10"/>
      <c r="C21" s="99"/>
      <c r="D21" s="99"/>
      <c r="E21" s="99"/>
      <c r="F21" s="99"/>
      <c r="G21" s="99"/>
    </row>
    <row r="22" spans="1:7" ht="15" thickBot="1" x14ac:dyDescent="0.35">
      <c r="A22" s="97" t="s">
        <v>321</v>
      </c>
      <c r="B22" s="97" t="s">
        <v>322</v>
      </c>
      <c r="C22" s="98" t="s">
        <v>313</v>
      </c>
      <c r="D22" s="98" t="s">
        <v>71</v>
      </c>
      <c r="E22" s="98" t="s">
        <v>191</v>
      </c>
      <c r="F22" s="98" t="s">
        <v>325</v>
      </c>
      <c r="G22" s="98" t="s">
        <v>326</v>
      </c>
    </row>
    <row r="23" spans="1:7" x14ac:dyDescent="0.3">
      <c r="A23" s="7" t="s">
        <v>314</v>
      </c>
      <c r="B23" s="7" t="s">
        <v>327</v>
      </c>
      <c r="C23" s="8" t="s">
        <v>315</v>
      </c>
      <c r="D23" s="8" t="s">
        <v>315</v>
      </c>
      <c r="E23" s="8" t="s">
        <v>315</v>
      </c>
      <c r="F23" s="8" t="s">
        <v>315</v>
      </c>
      <c r="G23" s="8" t="s">
        <v>315</v>
      </c>
    </row>
    <row r="24" spans="1:7" x14ac:dyDescent="0.3">
      <c r="A24" s="7" t="s">
        <v>316</v>
      </c>
      <c r="B24" s="7" t="s">
        <v>71</v>
      </c>
      <c r="C24" s="8" t="s">
        <v>315</v>
      </c>
      <c r="D24" s="8" t="s">
        <v>315</v>
      </c>
      <c r="E24" s="8" t="s">
        <v>315</v>
      </c>
      <c r="F24" s="8" t="s">
        <v>315</v>
      </c>
      <c r="G24" s="8" t="s">
        <v>315</v>
      </c>
    </row>
    <row r="25" spans="1:7" x14ac:dyDescent="0.3">
      <c r="A25" s="7" t="s">
        <v>317</v>
      </c>
      <c r="B25" s="7" t="s">
        <v>699</v>
      </c>
      <c r="C25" s="8" t="s">
        <v>315</v>
      </c>
      <c r="D25" s="8">
        <v>2.0299999999999999E-2</v>
      </c>
      <c r="E25" s="8" t="s">
        <v>315</v>
      </c>
      <c r="F25" s="8" t="s">
        <v>315</v>
      </c>
      <c r="G25" s="8" t="s">
        <v>315</v>
      </c>
    </row>
    <row r="26" spans="1:7" x14ac:dyDescent="0.3">
      <c r="A26" s="7" t="s">
        <v>318</v>
      </c>
      <c r="B26" s="7" t="s">
        <v>191</v>
      </c>
      <c r="C26" s="8" t="s">
        <v>315</v>
      </c>
      <c r="D26" s="8">
        <v>0</v>
      </c>
      <c r="E26" s="8" t="s">
        <v>315</v>
      </c>
      <c r="F26" s="8" t="s">
        <v>315</v>
      </c>
      <c r="G26" s="8" t="s">
        <v>315</v>
      </c>
    </row>
    <row r="27" spans="1:7" x14ac:dyDescent="0.3">
      <c r="A27" s="7" t="s">
        <v>319</v>
      </c>
      <c r="B27" s="7" t="s">
        <v>325</v>
      </c>
      <c r="C27" s="8" t="s">
        <v>315</v>
      </c>
      <c r="D27" s="8">
        <v>0</v>
      </c>
      <c r="E27" s="8">
        <v>0.27200000000000002</v>
      </c>
      <c r="F27" s="8" t="s">
        <v>315</v>
      </c>
      <c r="G27" s="8" t="s">
        <v>315</v>
      </c>
    </row>
    <row r="28" spans="1:7" ht="15" thickBot="1" x14ac:dyDescent="0.35">
      <c r="A28" s="80" t="s">
        <v>320</v>
      </c>
      <c r="B28" s="80" t="s">
        <v>326</v>
      </c>
      <c r="C28" s="19" t="s">
        <v>315</v>
      </c>
      <c r="D28" s="19">
        <v>1.7399999999999999E-2</v>
      </c>
      <c r="E28" s="19">
        <v>0</v>
      </c>
      <c r="F28" s="19" t="s">
        <v>315</v>
      </c>
      <c r="G28" s="19" t="s">
        <v>315</v>
      </c>
    </row>
    <row r="29" spans="1:7" x14ac:dyDescent="0.3">
      <c r="A29" s="10"/>
      <c r="B29" s="10"/>
      <c r="C29" s="99"/>
      <c r="D29" s="99"/>
      <c r="E29" s="99"/>
      <c r="F29" s="99"/>
      <c r="G29" s="99"/>
    </row>
    <row r="30" spans="1:7" x14ac:dyDescent="0.3">
      <c r="A30" s="7" t="s">
        <v>323</v>
      </c>
      <c r="B30" s="10"/>
      <c r="C30" s="99"/>
      <c r="D30" s="99"/>
      <c r="E30" s="99"/>
      <c r="F30" s="99"/>
      <c r="G30" s="99"/>
    </row>
    <row r="31" spans="1:7" ht="15" thickBot="1" x14ac:dyDescent="0.35">
      <c r="A31" s="97" t="s">
        <v>321</v>
      </c>
      <c r="B31" s="97" t="s">
        <v>322</v>
      </c>
      <c r="C31" s="98" t="s">
        <v>313</v>
      </c>
      <c r="D31" s="98" t="s">
        <v>71</v>
      </c>
      <c r="E31" s="98" t="s">
        <v>191</v>
      </c>
      <c r="F31" s="98" t="s">
        <v>325</v>
      </c>
      <c r="G31" s="98" t="s">
        <v>326</v>
      </c>
    </row>
    <row r="32" spans="1:7" x14ac:dyDescent="0.3">
      <c r="A32" s="7" t="s">
        <v>314</v>
      </c>
      <c r="B32" s="7" t="s">
        <v>327</v>
      </c>
      <c r="C32" s="8" t="s">
        <v>315</v>
      </c>
      <c r="D32" s="8" t="s">
        <v>315</v>
      </c>
      <c r="E32" s="8" t="s">
        <v>315</v>
      </c>
      <c r="F32" s="8" t="s">
        <v>315</v>
      </c>
      <c r="G32" s="8" t="s">
        <v>315</v>
      </c>
    </row>
    <row r="33" spans="1:7" x14ac:dyDescent="0.3">
      <c r="A33" s="7" t="s">
        <v>316</v>
      </c>
      <c r="B33" s="7" t="s">
        <v>71</v>
      </c>
      <c r="C33" s="8" t="s">
        <v>315</v>
      </c>
      <c r="D33" s="8" t="s">
        <v>315</v>
      </c>
      <c r="E33" s="8" t="s">
        <v>315</v>
      </c>
      <c r="F33" s="8" t="s">
        <v>315</v>
      </c>
      <c r="G33" s="8" t="s">
        <v>315</v>
      </c>
    </row>
    <row r="34" spans="1:7" x14ac:dyDescent="0.3">
      <c r="A34" s="7" t="s">
        <v>317</v>
      </c>
      <c r="B34" s="7" t="s">
        <v>699</v>
      </c>
      <c r="C34" s="8" t="s">
        <v>315</v>
      </c>
      <c r="D34" s="8">
        <v>1.89E-2</v>
      </c>
      <c r="E34" s="8" t="s">
        <v>315</v>
      </c>
      <c r="F34" s="8" t="s">
        <v>315</v>
      </c>
      <c r="G34" s="8" t="s">
        <v>315</v>
      </c>
    </row>
    <row r="35" spans="1:7" x14ac:dyDescent="0.3">
      <c r="A35" s="7" t="s">
        <v>318</v>
      </c>
      <c r="B35" s="7" t="s">
        <v>191</v>
      </c>
      <c r="C35" s="8" t="s">
        <v>315</v>
      </c>
      <c r="D35" s="8">
        <v>0</v>
      </c>
      <c r="E35" s="8" t="s">
        <v>315</v>
      </c>
      <c r="F35" s="8" t="s">
        <v>315</v>
      </c>
      <c r="G35" s="8" t="s">
        <v>315</v>
      </c>
    </row>
    <row r="36" spans="1:7" x14ac:dyDescent="0.3">
      <c r="A36" s="7" t="s">
        <v>319</v>
      </c>
      <c r="B36" s="7" t="s">
        <v>325</v>
      </c>
      <c r="C36" s="8" t="s">
        <v>315</v>
      </c>
      <c r="D36" s="8">
        <v>0</v>
      </c>
      <c r="E36" s="8">
        <v>0.152</v>
      </c>
      <c r="F36" s="8" t="s">
        <v>315</v>
      </c>
      <c r="G36" s="8" t="s">
        <v>315</v>
      </c>
    </row>
    <row r="37" spans="1:7" ht="15" thickBot="1" x14ac:dyDescent="0.35">
      <c r="A37" s="80" t="s">
        <v>320</v>
      </c>
      <c r="B37" s="80" t="s">
        <v>326</v>
      </c>
      <c r="C37" s="19" t="s">
        <v>315</v>
      </c>
      <c r="D37" s="19">
        <v>0</v>
      </c>
      <c r="E37" s="19">
        <v>0</v>
      </c>
      <c r="F37" s="19" t="s">
        <v>315</v>
      </c>
      <c r="G37" s="19" t="s">
        <v>315</v>
      </c>
    </row>
    <row r="38" spans="1:7" x14ac:dyDescent="0.3">
      <c r="A38" s="10"/>
      <c r="B38" s="10"/>
      <c r="C38" s="99"/>
      <c r="D38" s="99"/>
      <c r="E38" s="99"/>
      <c r="F38" s="99"/>
      <c r="G38" s="99"/>
    </row>
    <row r="39" spans="1:7" x14ac:dyDescent="0.3">
      <c r="A39" s="7" t="s">
        <v>324</v>
      </c>
      <c r="B39" s="10"/>
      <c r="C39" s="99"/>
      <c r="D39" s="99"/>
      <c r="E39" s="99"/>
      <c r="F39" s="99"/>
      <c r="G39" s="99"/>
    </row>
    <row r="40" spans="1:7" ht="15" thickBot="1" x14ac:dyDescent="0.35">
      <c r="A40" s="97" t="s">
        <v>321</v>
      </c>
      <c r="B40" s="97" t="s">
        <v>322</v>
      </c>
      <c r="C40" s="98" t="s">
        <v>313</v>
      </c>
      <c r="D40" s="98" t="s">
        <v>71</v>
      </c>
      <c r="E40" s="98" t="s">
        <v>191</v>
      </c>
      <c r="F40" s="98" t="s">
        <v>325</v>
      </c>
      <c r="G40" s="98" t="s">
        <v>326</v>
      </c>
    </row>
    <row r="41" spans="1:7" x14ac:dyDescent="0.3">
      <c r="A41" s="7" t="s">
        <v>314</v>
      </c>
      <c r="B41" s="7" t="s">
        <v>327</v>
      </c>
      <c r="C41" s="8" t="s">
        <v>315</v>
      </c>
      <c r="D41" s="8" t="s">
        <v>315</v>
      </c>
      <c r="E41" s="8" t="s">
        <v>315</v>
      </c>
      <c r="F41" s="8" t="s">
        <v>315</v>
      </c>
      <c r="G41" s="8" t="s">
        <v>315</v>
      </c>
    </row>
    <row r="42" spans="1:7" x14ac:dyDescent="0.3">
      <c r="A42" s="7" t="s">
        <v>316</v>
      </c>
      <c r="B42" s="7" t="s">
        <v>71</v>
      </c>
      <c r="C42" s="8" t="s">
        <v>315</v>
      </c>
      <c r="D42" s="8" t="s">
        <v>315</v>
      </c>
      <c r="E42" s="8" t="s">
        <v>315</v>
      </c>
      <c r="F42" s="8" t="s">
        <v>315</v>
      </c>
      <c r="G42" s="8" t="s">
        <v>315</v>
      </c>
    </row>
    <row r="43" spans="1:7" x14ac:dyDescent="0.3">
      <c r="A43" s="7" t="s">
        <v>317</v>
      </c>
      <c r="B43" s="7" t="s">
        <v>699</v>
      </c>
      <c r="C43" s="8" t="s">
        <v>315</v>
      </c>
      <c r="D43" s="8">
        <v>1.18E-2</v>
      </c>
      <c r="E43" s="8" t="s">
        <v>315</v>
      </c>
      <c r="F43" s="8" t="s">
        <v>315</v>
      </c>
      <c r="G43" s="8" t="s">
        <v>315</v>
      </c>
    </row>
    <row r="44" spans="1:7" x14ac:dyDescent="0.3">
      <c r="A44" s="7" t="s">
        <v>318</v>
      </c>
      <c r="B44" s="7" t="s">
        <v>191</v>
      </c>
      <c r="C44" s="8" t="s">
        <v>315</v>
      </c>
      <c r="D44" s="8">
        <v>0</v>
      </c>
      <c r="E44" s="8" t="s">
        <v>315</v>
      </c>
      <c r="F44" s="8" t="s">
        <v>315</v>
      </c>
      <c r="G44" s="8" t="s">
        <v>315</v>
      </c>
    </row>
    <row r="45" spans="1:7" x14ac:dyDescent="0.3">
      <c r="A45" s="7" t="s">
        <v>319</v>
      </c>
      <c r="B45" s="7" t="s">
        <v>325</v>
      </c>
      <c r="C45" s="8" t="s">
        <v>315</v>
      </c>
      <c r="D45" s="8">
        <v>0</v>
      </c>
      <c r="E45" s="79" t="s">
        <v>536</v>
      </c>
      <c r="F45" s="8" t="s">
        <v>315</v>
      </c>
      <c r="G45" s="8" t="s">
        <v>315</v>
      </c>
    </row>
    <row r="46" spans="1:7" ht="15" thickBot="1" x14ac:dyDescent="0.35">
      <c r="A46" s="80" t="s">
        <v>320</v>
      </c>
      <c r="B46" s="80" t="s">
        <v>326</v>
      </c>
      <c r="C46" s="19" t="s">
        <v>315</v>
      </c>
      <c r="D46" s="19">
        <v>7.7200000000000003E-3</v>
      </c>
      <c r="E46" s="19">
        <v>0</v>
      </c>
      <c r="F46" s="19" t="s">
        <v>315</v>
      </c>
      <c r="G46" s="19" t="s">
        <v>315</v>
      </c>
    </row>
    <row r="47" spans="1:7" x14ac:dyDescent="0.3">
      <c r="A47" s="10"/>
      <c r="B47" s="10"/>
      <c r="C47" s="10"/>
      <c r="D47" s="10"/>
      <c r="E47" s="10"/>
      <c r="F47" s="10"/>
      <c r="G47" s="10"/>
    </row>
    <row r="48" spans="1:7" x14ac:dyDescent="0.3">
      <c r="A48" s="10"/>
      <c r="B48" s="10"/>
      <c r="C48" s="10"/>
      <c r="D48" s="10"/>
      <c r="E48" s="10"/>
      <c r="F48" s="10"/>
      <c r="G48" s="10"/>
    </row>
  </sheetData>
  <pageMargins left="0.7" right="0.7" top="0.75" bottom="0.75" header="0.3" footer="0.3"/>
  <pageSetup paperSize="9" orientation="portrait" r:id="rId1"/>
  <ignoredErrors>
    <ignoredError sqref="D19:E4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67FA-8798-45E4-9715-0F942B2138DA}">
  <dimension ref="A1:F12"/>
  <sheetViews>
    <sheetView tabSelected="1" workbookViewId="0">
      <selection activeCell="A5" sqref="A4:H5"/>
    </sheetView>
  </sheetViews>
  <sheetFormatPr defaultRowHeight="13.2" x14ac:dyDescent="0.25"/>
  <cols>
    <col min="1" max="1" width="38.88671875" style="94" customWidth="1"/>
    <col min="2" max="2" width="21.44140625" style="94" customWidth="1"/>
    <col min="3" max="4" width="14.6640625" style="94" customWidth="1"/>
    <col min="5" max="6" width="11.44140625" style="94" customWidth="1"/>
    <col min="7" max="16384" width="8.88671875" style="94"/>
  </cols>
  <sheetData>
    <row r="1" spans="1:6" ht="15.6" x14ac:dyDescent="0.35">
      <c r="A1" s="7" t="s">
        <v>711</v>
      </c>
    </row>
    <row r="2" spans="1:6" x14ac:dyDescent="0.25">
      <c r="A2" s="7"/>
      <c r="B2" s="106"/>
      <c r="C2" s="106"/>
      <c r="D2" s="106"/>
    </row>
    <row r="3" spans="1:6" ht="27" thickBot="1" x14ac:dyDescent="0.3">
      <c r="A3" s="115" t="s">
        <v>464</v>
      </c>
      <c r="B3" s="87" t="s">
        <v>465</v>
      </c>
      <c r="C3" s="87" t="s">
        <v>466</v>
      </c>
      <c r="D3" s="87" t="s">
        <v>702</v>
      </c>
      <c r="E3" s="87" t="s">
        <v>512</v>
      </c>
      <c r="F3" s="87" t="s">
        <v>467</v>
      </c>
    </row>
    <row r="4" spans="1:6" s="95" customFormat="1" x14ac:dyDescent="0.25">
      <c r="A4" s="107" t="s">
        <v>468</v>
      </c>
      <c r="B4" s="22" t="s">
        <v>111</v>
      </c>
      <c r="C4" s="22" t="s">
        <v>111</v>
      </c>
      <c r="D4" s="22" t="s">
        <v>713</v>
      </c>
      <c r="E4" s="22" t="s">
        <v>712</v>
      </c>
      <c r="F4" s="22" t="s">
        <v>469</v>
      </c>
    </row>
    <row r="5" spans="1:6" x14ac:dyDescent="0.25">
      <c r="A5" s="107" t="s">
        <v>509</v>
      </c>
      <c r="B5" s="22" t="s">
        <v>726</v>
      </c>
      <c r="C5" s="22" t="s">
        <v>732</v>
      </c>
      <c r="D5" s="22" t="s">
        <v>714</v>
      </c>
      <c r="E5" s="22" t="s">
        <v>720</v>
      </c>
      <c r="F5" s="22" t="s">
        <v>469</v>
      </c>
    </row>
    <row r="6" spans="1:6" ht="15.6" x14ac:dyDescent="0.35">
      <c r="A6" s="7" t="s">
        <v>704</v>
      </c>
      <c r="B6" s="22" t="s">
        <v>727</v>
      </c>
      <c r="C6" s="22" t="s">
        <v>733</v>
      </c>
      <c r="D6" s="22" t="s">
        <v>715</v>
      </c>
      <c r="E6" s="22" t="s">
        <v>721</v>
      </c>
      <c r="F6" s="113" t="s">
        <v>472</v>
      </c>
    </row>
    <row r="7" spans="1:6" x14ac:dyDescent="0.25">
      <c r="A7" s="107" t="s">
        <v>701</v>
      </c>
      <c r="B7" s="22" t="s">
        <v>728</v>
      </c>
      <c r="C7" s="22" t="s">
        <v>734</v>
      </c>
      <c r="D7" s="22" t="s">
        <v>716</v>
      </c>
      <c r="E7" s="22" t="s">
        <v>722</v>
      </c>
      <c r="F7" s="22"/>
    </row>
    <row r="8" spans="1:6" x14ac:dyDescent="0.25">
      <c r="A8" s="107" t="s">
        <v>510</v>
      </c>
      <c r="B8" s="22" t="s">
        <v>729</v>
      </c>
      <c r="C8" s="22" t="s">
        <v>735</v>
      </c>
      <c r="D8" s="22" t="s">
        <v>717</v>
      </c>
      <c r="E8" s="22" t="s">
        <v>723</v>
      </c>
      <c r="F8" s="22" t="s">
        <v>470</v>
      </c>
    </row>
    <row r="9" spans="1:6" ht="15.6" x14ac:dyDescent="0.35">
      <c r="A9" s="7" t="s">
        <v>705</v>
      </c>
      <c r="B9" s="22" t="s">
        <v>730</v>
      </c>
      <c r="C9" s="22" t="s">
        <v>736</v>
      </c>
      <c r="D9" s="22" t="s">
        <v>718</v>
      </c>
      <c r="E9" s="22" t="s">
        <v>724</v>
      </c>
      <c r="F9" s="22" t="s">
        <v>471</v>
      </c>
    </row>
    <row r="10" spans="1:6" ht="16.2" thickBot="1" x14ac:dyDescent="0.4">
      <c r="A10" s="80" t="s">
        <v>703</v>
      </c>
      <c r="B10" s="25" t="s">
        <v>731</v>
      </c>
      <c r="C10" s="25" t="s">
        <v>737</v>
      </c>
      <c r="D10" s="25" t="s">
        <v>719</v>
      </c>
      <c r="E10" s="25" t="s">
        <v>725</v>
      </c>
      <c r="F10" s="25" t="s">
        <v>471</v>
      </c>
    </row>
    <row r="12" spans="1:6" x14ac:dyDescent="0.25">
      <c r="A12" s="83"/>
      <c r="C12" s="79"/>
      <c r="D12" s="79"/>
      <c r="E12" s="22"/>
      <c r="F12" s="22"/>
    </row>
  </sheetData>
  <pageMargins left="0.7" right="0.7" top="0.75" bottom="0.75" header="0.3" footer="0.3"/>
  <ignoredErrors>
    <ignoredError sqref="E12 B4:C4 B12:C12 F5 F7:F8 B5:B10 D4:E1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4FAC-FC05-4EA9-83FE-E8E113D94925}">
  <dimension ref="A1:H15"/>
  <sheetViews>
    <sheetView workbookViewId="0">
      <selection activeCell="D4" sqref="D4"/>
    </sheetView>
  </sheetViews>
  <sheetFormatPr defaultRowHeight="13.2" x14ac:dyDescent="0.25"/>
  <cols>
    <col min="1" max="1" width="41.88671875" style="94" customWidth="1"/>
    <col min="2" max="2" width="21.109375" style="94" customWidth="1"/>
    <col min="3" max="8" width="17.88671875" style="94" customWidth="1"/>
    <col min="9" max="16384" width="8.88671875" style="94"/>
  </cols>
  <sheetData>
    <row r="1" spans="1:8" x14ac:dyDescent="0.25">
      <c r="A1" s="7" t="s">
        <v>778</v>
      </c>
      <c r="B1" s="7"/>
    </row>
    <row r="2" spans="1:8" x14ac:dyDescent="0.25">
      <c r="A2" s="7"/>
      <c r="B2" s="7"/>
      <c r="C2" s="106"/>
      <c r="D2" s="106"/>
      <c r="E2" s="106"/>
      <c r="F2" s="106"/>
    </row>
    <row r="3" spans="1:8" x14ac:dyDescent="0.25">
      <c r="A3" s="7" t="s">
        <v>779</v>
      </c>
      <c r="B3" s="7"/>
      <c r="C3" s="106"/>
      <c r="D3" s="106"/>
      <c r="E3" s="106"/>
      <c r="F3" s="106"/>
    </row>
    <row r="4" spans="1:8" ht="40.200000000000003" thickBot="1" x14ac:dyDescent="0.3">
      <c r="A4" s="115" t="s">
        <v>740</v>
      </c>
      <c r="B4" s="87" t="s">
        <v>746</v>
      </c>
      <c r="C4" s="87" t="s">
        <v>756</v>
      </c>
      <c r="D4" s="87" t="s">
        <v>787</v>
      </c>
      <c r="E4" s="87" t="s">
        <v>757</v>
      </c>
      <c r="F4" s="87" t="s">
        <v>758</v>
      </c>
      <c r="G4" s="87" t="s">
        <v>759</v>
      </c>
      <c r="H4" s="87" t="s">
        <v>760</v>
      </c>
    </row>
    <row r="5" spans="1:8" s="95" customFormat="1" x14ac:dyDescent="0.25">
      <c r="A5" s="94" t="s">
        <v>741</v>
      </c>
      <c r="B5" s="22" t="s">
        <v>747</v>
      </c>
      <c r="C5" s="22" t="s">
        <v>769</v>
      </c>
      <c r="D5" s="22" t="s">
        <v>774</v>
      </c>
      <c r="E5" s="22" t="s">
        <v>771</v>
      </c>
      <c r="F5" s="22" t="s">
        <v>770</v>
      </c>
      <c r="G5" s="22" t="s">
        <v>754</v>
      </c>
      <c r="H5" s="22" t="s">
        <v>469</v>
      </c>
    </row>
    <row r="6" spans="1:8" x14ac:dyDescent="0.25">
      <c r="A6" s="94" t="s">
        <v>742</v>
      </c>
      <c r="B6" s="22" t="s">
        <v>748</v>
      </c>
      <c r="C6" s="22" t="s">
        <v>769</v>
      </c>
      <c r="D6" s="22" t="s">
        <v>774</v>
      </c>
      <c r="E6" s="22" t="s">
        <v>768</v>
      </c>
      <c r="F6" s="22" t="s">
        <v>767</v>
      </c>
      <c r="G6" s="22" t="s">
        <v>766</v>
      </c>
      <c r="H6" s="22" t="s">
        <v>469</v>
      </c>
    </row>
    <row r="7" spans="1:8" x14ac:dyDescent="0.25">
      <c r="A7" s="94" t="s">
        <v>743</v>
      </c>
      <c r="B7" s="22" t="s">
        <v>749</v>
      </c>
      <c r="C7" s="22" t="s">
        <v>773</v>
      </c>
      <c r="D7" s="22" t="s">
        <v>772</v>
      </c>
      <c r="E7" s="22" t="s">
        <v>764</v>
      </c>
      <c r="F7" s="22" t="s">
        <v>762</v>
      </c>
      <c r="G7" s="22" t="s">
        <v>765</v>
      </c>
      <c r="H7" s="22" t="s">
        <v>471</v>
      </c>
    </row>
    <row r="8" spans="1:8" x14ac:dyDescent="0.25">
      <c r="A8" s="94" t="s">
        <v>744</v>
      </c>
      <c r="B8" s="22" t="s">
        <v>750</v>
      </c>
      <c r="C8" s="22" t="s">
        <v>775</v>
      </c>
      <c r="D8" s="22" t="s">
        <v>776</v>
      </c>
      <c r="E8" s="22" t="s">
        <v>752</v>
      </c>
      <c r="F8" s="22" t="s">
        <v>761</v>
      </c>
      <c r="G8" s="22" t="s">
        <v>754</v>
      </c>
      <c r="H8" s="22" t="s">
        <v>469</v>
      </c>
    </row>
    <row r="9" spans="1:8" x14ac:dyDescent="0.25">
      <c r="A9" s="94" t="s">
        <v>745</v>
      </c>
      <c r="B9" s="22" t="s">
        <v>751</v>
      </c>
      <c r="C9" s="22" t="s">
        <v>763</v>
      </c>
      <c r="D9" s="22" t="s">
        <v>777</v>
      </c>
      <c r="E9" s="22" t="s">
        <v>753</v>
      </c>
      <c r="F9" s="22" t="s">
        <v>755</v>
      </c>
      <c r="G9" s="22" t="s">
        <v>754</v>
      </c>
      <c r="H9" s="22" t="s">
        <v>469</v>
      </c>
    </row>
    <row r="10" spans="1:8" ht="16.2" thickBot="1" x14ac:dyDescent="0.4">
      <c r="A10" s="80" t="s">
        <v>780</v>
      </c>
      <c r="B10" s="25" t="s">
        <v>783</v>
      </c>
      <c r="C10" s="25" t="s">
        <v>784</v>
      </c>
      <c r="D10" s="25" t="s">
        <v>786</v>
      </c>
      <c r="E10" s="25" t="s">
        <v>785</v>
      </c>
      <c r="F10" s="25" t="s">
        <v>781</v>
      </c>
      <c r="G10" s="25" t="s">
        <v>782</v>
      </c>
      <c r="H10" s="25" t="s">
        <v>472</v>
      </c>
    </row>
    <row r="15" spans="1:8" x14ac:dyDescent="0.25">
      <c r="F15" s="103"/>
    </row>
  </sheetData>
  <pageMargins left="0.7" right="0.7" top="0.75" bottom="0.75" header="0.3" footer="0.3"/>
  <ignoredErrors>
    <ignoredError sqref="B5:G8 B9:I1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D7757-E98E-4B34-8230-574C11C0A9FC}">
  <dimension ref="A1:H44"/>
  <sheetViews>
    <sheetView topLeftCell="A4" zoomScale="210" zoomScaleNormal="210" workbookViewId="0">
      <selection activeCell="F9" sqref="F9"/>
    </sheetView>
  </sheetViews>
  <sheetFormatPr defaultColWidth="8.77734375" defaultRowHeight="13.2" x14ac:dyDescent="0.25"/>
  <cols>
    <col min="1" max="1" width="30.88671875" style="7" customWidth="1"/>
    <col min="2" max="2" width="16" style="7" customWidth="1"/>
    <col min="3" max="4" width="17.109375" style="8" customWidth="1"/>
    <col min="5" max="8" width="32.6640625" style="7" customWidth="1"/>
    <col min="9" max="16384" width="8.77734375" style="7"/>
  </cols>
  <sheetData>
    <row r="1" spans="1:8" customFormat="1" ht="14.4" x14ac:dyDescent="0.3">
      <c r="A1" s="7" t="s">
        <v>700</v>
      </c>
      <c r="B1" s="7"/>
      <c r="C1" s="7"/>
      <c r="D1" s="7"/>
      <c r="E1" s="7"/>
      <c r="F1" s="7"/>
      <c r="G1" s="7"/>
      <c r="H1" s="7"/>
    </row>
    <row r="2" spans="1:8" customFormat="1" ht="14.4" x14ac:dyDescent="0.3"/>
    <row r="3" spans="1:8" s="8" customFormat="1" ht="40.200000000000003" thickBot="1" x14ac:dyDescent="0.3">
      <c r="A3" s="116" t="s">
        <v>513</v>
      </c>
      <c r="B3" s="116" t="s">
        <v>514</v>
      </c>
      <c r="C3" s="78" t="s">
        <v>707</v>
      </c>
      <c r="D3" s="78" t="s">
        <v>708</v>
      </c>
      <c r="E3" s="78" t="s">
        <v>183</v>
      </c>
      <c r="F3" s="78" t="s">
        <v>184</v>
      </c>
      <c r="G3" s="78" t="s">
        <v>185</v>
      </c>
      <c r="H3" s="78" t="s">
        <v>186</v>
      </c>
    </row>
    <row r="4" spans="1:8" ht="72.599999999999994" customHeight="1" x14ac:dyDescent="0.25">
      <c r="A4" s="117" t="s">
        <v>788</v>
      </c>
      <c r="B4" s="117" t="s">
        <v>515</v>
      </c>
      <c r="C4" s="125">
        <v>426</v>
      </c>
      <c r="D4" s="127" t="s">
        <v>710</v>
      </c>
      <c r="E4" s="125" t="s">
        <v>706</v>
      </c>
      <c r="F4" s="125" t="s">
        <v>706</v>
      </c>
      <c r="G4" s="125">
        <v>0</v>
      </c>
      <c r="H4" s="9">
        <v>0</v>
      </c>
    </row>
    <row r="5" spans="1:8" ht="72.599999999999994" customHeight="1" x14ac:dyDescent="0.25">
      <c r="A5" s="132" t="s">
        <v>788</v>
      </c>
      <c r="B5" s="132" t="s">
        <v>516</v>
      </c>
      <c r="C5" s="133">
        <v>426</v>
      </c>
      <c r="D5" s="134" t="s">
        <v>709</v>
      </c>
      <c r="E5" s="133" t="s">
        <v>739</v>
      </c>
      <c r="F5" s="133" t="s">
        <v>738</v>
      </c>
      <c r="G5" s="133">
        <v>0</v>
      </c>
      <c r="H5" s="133">
        <v>0</v>
      </c>
    </row>
    <row r="6" spans="1:8" ht="72.599999999999994" customHeight="1" x14ac:dyDescent="0.25">
      <c r="A6" s="117" t="s">
        <v>789</v>
      </c>
      <c r="B6" s="117" t="s">
        <v>515</v>
      </c>
      <c r="C6" s="125">
        <v>24</v>
      </c>
      <c r="D6" s="127" t="s">
        <v>710</v>
      </c>
      <c r="E6" s="133" t="s">
        <v>790</v>
      </c>
      <c r="F6" s="133" t="s">
        <v>791</v>
      </c>
      <c r="G6" s="133">
        <v>0</v>
      </c>
      <c r="H6" s="133">
        <v>0</v>
      </c>
    </row>
    <row r="7" spans="1:8" ht="72.599999999999994" customHeight="1" x14ac:dyDescent="0.25">
      <c r="A7" s="117" t="s">
        <v>789</v>
      </c>
      <c r="B7" s="132" t="s">
        <v>516</v>
      </c>
      <c r="C7" s="125">
        <v>24</v>
      </c>
      <c r="D7" s="134" t="s">
        <v>709</v>
      </c>
      <c r="E7" s="133">
        <v>0</v>
      </c>
      <c r="F7" s="133" t="s">
        <v>793</v>
      </c>
      <c r="G7" s="133">
        <v>0</v>
      </c>
      <c r="H7" s="133">
        <v>0</v>
      </c>
    </row>
    <row r="8" spans="1:8" ht="72.599999999999994" customHeight="1" thickBot="1" x14ac:dyDescent="0.3">
      <c r="A8" s="114" t="s">
        <v>789</v>
      </c>
      <c r="B8" s="114" t="s">
        <v>792</v>
      </c>
      <c r="C8" s="126">
        <v>24</v>
      </c>
      <c r="D8" s="128" t="s">
        <v>794</v>
      </c>
      <c r="E8" s="126">
        <v>0</v>
      </c>
      <c r="F8" s="126">
        <v>0</v>
      </c>
      <c r="G8" s="126">
        <v>0</v>
      </c>
      <c r="H8" s="126">
        <v>0</v>
      </c>
    </row>
    <row r="9" spans="1:8" x14ac:dyDescent="0.25">
      <c r="A9" s="31"/>
      <c r="B9" s="31"/>
      <c r="C9" s="32"/>
      <c r="D9" s="32"/>
    </row>
    <row r="10" spans="1:8" x14ac:dyDescent="0.25">
      <c r="A10" s="31"/>
      <c r="B10" s="31"/>
      <c r="C10" s="32"/>
      <c r="D10" s="32"/>
    </row>
    <row r="11" spans="1:8" x14ac:dyDescent="0.25">
      <c r="A11" s="31"/>
      <c r="B11" s="31"/>
      <c r="C11" s="32"/>
      <c r="D11" s="32"/>
    </row>
    <row r="12" spans="1:8" x14ac:dyDescent="0.25">
      <c r="A12" s="31"/>
      <c r="B12" s="31"/>
      <c r="C12" s="32"/>
      <c r="D12" s="32"/>
    </row>
    <row r="13" spans="1:8" x14ac:dyDescent="0.25">
      <c r="A13" s="31"/>
      <c r="B13" s="31"/>
      <c r="C13" s="32"/>
      <c r="D13" s="32"/>
    </row>
    <row r="14" spans="1:8" x14ac:dyDescent="0.25">
      <c r="A14" s="31"/>
      <c r="B14" s="31"/>
      <c r="C14" s="32"/>
      <c r="D14" s="32"/>
    </row>
    <row r="15" spans="1:8" x14ac:dyDescent="0.25">
      <c r="A15" s="31"/>
      <c r="B15" s="31"/>
      <c r="C15" s="32"/>
      <c r="D15" s="32"/>
    </row>
    <row r="16" spans="1:8" x14ac:dyDescent="0.25">
      <c r="A16" s="31"/>
      <c r="B16" s="31"/>
      <c r="C16" s="32"/>
      <c r="D16" s="32"/>
    </row>
    <row r="17" spans="1:4" x14ac:dyDescent="0.25">
      <c r="A17" s="31"/>
      <c r="B17" s="31"/>
      <c r="C17" s="32"/>
      <c r="D17" s="32"/>
    </row>
    <row r="18" spans="1:4" x14ac:dyDescent="0.25">
      <c r="A18" s="31"/>
      <c r="B18" s="31"/>
      <c r="C18" s="32"/>
      <c r="D18" s="32"/>
    </row>
    <row r="19" spans="1:4" x14ac:dyDescent="0.25">
      <c r="A19" s="31"/>
      <c r="B19" s="31"/>
      <c r="C19" s="32"/>
      <c r="D19" s="32"/>
    </row>
    <row r="20" spans="1:4" x14ac:dyDescent="0.25">
      <c r="A20" s="31"/>
      <c r="B20" s="31"/>
      <c r="C20" s="32"/>
      <c r="D20" s="32"/>
    </row>
    <row r="21" spans="1:4" x14ac:dyDescent="0.25">
      <c r="A21" s="31"/>
      <c r="B21" s="31"/>
      <c r="C21" s="32"/>
      <c r="D21" s="32"/>
    </row>
    <row r="22" spans="1:4" x14ac:dyDescent="0.25">
      <c r="A22" s="31"/>
      <c r="B22" s="31"/>
      <c r="C22" s="32"/>
      <c r="D22" s="32"/>
    </row>
    <row r="23" spans="1:4" x14ac:dyDescent="0.25">
      <c r="A23" s="31"/>
      <c r="B23" s="31"/>
      <c r="C23" s="32"/>
      <c r="D23" s="32"/>
    </row>
    <row r="24" spans="1:4" x14ac:dyDescent="0.25">
      <c r="A24" s="31"/>
      <c r="B24" s="31"/>
      <c r="C24" s="32"/>
      <c r="D24" s="32"/>
    </row>
    <row r="25" spans="1:4" x14ac:dyDescent="0.25">
      <c r="A25" s="31"/>
      <c r="B25" s="31"/>
      <c r="C25" s="32"/>
      <c r="D25" s="32"/>
    </row>
    <row r="26" spans="1:4" x14ac:dyDescent="0.25">
      <c r="A26" s="31"/>
      <c r="B26" s="31"/>
      <c r="C26" s="32"/>
      <c r="D26" s="32"/>
    </row>
    <row r="27" spans="1:4" x14ac:dyDescent="0.25">
      <c r="A27" s="31"/>
      <c r="B27" s="31"/>
      <c r="C27" s="32"/>
      <c r="D27" s="32"/>
    </row>
    <row r="28" spans="1:4" x14ac:dyDescent="0.25">
      <c r="A28" s="31"/>
      <c r="B28" s="31"/>
      <c r="C28" s="32"/>
      <c r="D28" s="32"/>
    </row>
    <row r="29" spans="1:4" x14ac:dyDescent="0.25">
      <c r="A29" s="31"/>
      <c r="B29" s="31"/>
      <c r="C29" s="32"/>
      <c r="D29" s="32"/>
    </row>
    <row r="30" spans="1:4" x14ac:dyDescent="0.25">
      <c r="A30" s="31"/>
      <c r="B30" s="31"/>
      <c r="C30" s="32"/>
      <c r="D30" s="32"/>
    </row>
    <row r="31" spans="1:4" x14ac:dyDescent="0.25">
      <c r="A31" s="31"/>
      <c r="B31" s="31"/>
      <c r="C31" s="32"/>
      <c r="D31" s="32"/>
    </row>
    <row r="32" spans="1:4" x14ac:dyDescent="0.25">
      <c r="A32" s="31"/>
      <c r="B32" s="31"/>
      <c r="C32" s="32"/>
      <c r="D32" s="32"/>
    </row>
    <row r="33" spans="1:4" x14ac:dyDescent="0.25">
      <c r="A33" s="31"/>
      <c r="B33" s="31"/>
      <c r="C33" s="32"/>
      <c r="D33" s="32"/>
    </row>
    <row r="34" spans="1:4" x14ac:dyDescent="0.25">
      <c r="A34" s="31"/>
      <c r="B34" s="31"/>
      <c r="C34" s="32"/>
      <c r="D34" s="32"/>
    </row>
    <row r="35" spans="1:4" x14ac:dyDescent="0.25">
      <c r="A35" s="31"/>
      <c r="B35" s="31"/>
      <c r="C35" s="32"/>
      <c r="D35" s="32"/>
    </row>
    <row r="36" spans="1:4" x14ac:dyDescent="0.25">
      <c r="A36" s="31"/>
      <c r="B36" s="31"/>
      <c r="C36" s="32"/>
      <c r="D36" s="32"/>
    </row>
    <row r="37" spans="1:4" x14ac:dyDescent="0.25">
      <c r="A37" s="31"/>
      <c r="B37" s="31"/>
      <c r="C37" s="32"/>
      <c r="D37" s="32"/>
    </row>
    <row r="38" spans="1:4" x14ac:dyDescent="0.25">
      <c r="A38" s="31"/>
      <c r="B38" s="31"/>
      <c r="C38" s="32"/>
      <c r="D38" s="32"/>
    </row>
    <row r="39" spans="1:4" x14ac:dyDescent="0.25">
      <c r="A39" s="31"/>
      <c r="B39" s="31"/>
      <c r="C39" s="32"/>
      <c r="D39" s="32"/>
    </row>
    <row r="40" spans="1:4" x14ac:dyDescent="0.25">
      <c r="A40" s="31"/>
      <c r="B40" s="31"/>
      <c r="C40" s="32"/>
      <c r="D40" s="32"/>
    </row>
    <row r="41" spans="1:4" x14ac:dyDescent="0.25">
      <c r="A41" s="31"/>
      <c r="B41" s="31"/>
      <c r="C41" s="32"/>
      <c r="D41" s="32"/>
    </row>
    <row r="42" spans="1:4" x14ac:dyDescent="0.25">
      <c r="A42" s="31"/>
      <c r="B42" s="31"/>
      <c r="C42" s="32"/>
      <c r="D42" s="32"/>
    </row>
    <row r="43" spans="1:4" x14ac:dyDescent="0.25">
      <c r="A43" s="31"/>
      <c r="B43" s="31"/>
      <c r="C43" s="32"/>
      <c r="D43" s="32"/>
    </row>
    <row r="44" spans="1:4" x14ac:dyDescent="0.25">
      <c r="A44" s="33"/>
      <c r="B44" s="33"/>
      <c r="C44" s="34"/>
      <c r="D44" s="3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TS1 Sample information</vt:lpstr>
      <vt:lpstr>TS2 Strata age</vt:lpstr>
      <vt:lpstr>TS3 Genome classification</vt:lpstr>
      <vt:lpstr>TS5 Dating consistency</vt:lpstr>
      <vt:lpstr>TS6 Lineage divergence test</vt:lpstr>
      <vt:lpstr>TS7 Evolutionary rate changes</vt:lpstr>
      <vt:lpstr>TS8 ABBA-BABA tests</vt:lpstr>
      <vt:lpstr>TS9 f-branch statistics</vt:lpstr>
      <vt:lpstr>TS10 Introgressed tract lengths</vt:lpstr>
      <vt:lpstr>TS11 Local adaptation</vt:lpstr>
      <vt:lpstr>TS12 GO and KEGG 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JE</dc:creator>
  <cp:lastModifiedBy>Simon Jacobsen Ellerstrand</cp:lastModifiedBy>
  <dcterms:created xsi:type="dcterms:W3CDTF">2015-06-05T18:19:34Z</dcterms:created>
  <dcterms:modified xsi:type="dcterms:W3CDTF">2026-08-24T14:21:25Z</dcterms:modified>
</cp:coreProperties>
</file>